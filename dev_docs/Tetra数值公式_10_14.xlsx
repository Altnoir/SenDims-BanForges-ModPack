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A6673525-D5F7-43F3-8B47-7A3E69A9932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材料" sheetId="1" r:id="rId1"/>
    <sheet name="SA" sheetId="2" r:id="rId2"/>
    <sheet name="护甲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2" i="1" l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O13" i="3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55" i="1"/>
  <c r="M55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Q64" i="3"/>
  <c r="Q63" i="3"/>
  <c r="R63" i="3" s="1"/>
  <c r="Q56" i="3" l="1"/>
  <c r="Q49" i="3"/>
  <c r="Q42" i="3"/>
  <c r="Q35" i="3"/>
  <c r="Q28" i="3"/>
  <c r="Q21" i="3"/>
  <c r="Q14" i="3"/>
  <c r="Q7" i="3"/>
  <c r="O12" i="3"/>
  <c r="O7" i="3"/>
  <c r="O8" i="3"/>
  <c r="O10" i="3"/>
  <c r="O11" i="3"/>
  <c r="Q46" i="3" l="1"/>
  <c r="Q67" i="3"/>
  <c r="Q60" i="3"/>
  <c r="Q52" i="3"/>
  <c r="Q66" i="3"/>
  <c r="Q59" i="3"/>
  <c r="Q50" i="3"/>
  <c r="R49" i="3" s="1"/>
  <c r="Q57" i="3"/>
  <c r="R56" i="3" s="1"/>
  <c r="Q43" i="3"/>
  <c r="R42" i="3" s="1"/>
  <c r="Q22" i="3"/>
  <c r="R21" i="3" s="1"/>
  <c r="Q8" i="3"/>
  <c r="R7" i="3" s="1"/>
  <c r="Q15" i="3"/>
  <c r="R14" i="3" s="1"/>
  <c r="Q29" i="3"/>
  <c r="R28" i="3" s="1"/>
  <c r="Q36" i="3"/>
  <c r="R35" i="3" s="1"/>
  <c r="Q10" i="3"/>
  <c r="Q17" i="3"/>
  <c r="Q31" i="3"/>
  <c r="Q24" i="3"/>
  <c r="Q25" i="3"/>
  <c r="R24" i="3" s="1"/>
  <c r="Q32" i="3"/>
  <c r="Q39" i="3"/>
  <c r="Q53" i="3"/>
  <c r="Q11" i="3"/>
  <c r="R10" i="3" s="1"/>
  <c r="Q18" i="3"/>
  <c r="R17" i="3" s="1"/>
  <c r="Q38" i="3"/>
  <c r="Q45" i="3"/>
  <c r="R45" i="3" s="1"/>
  <c r="R31" i="3"/>
  <c r="I7" i="1"/>
  <c r="I6" i="1"/>
  <c r="I5" i="1"/>
  <c r="I4" i="1"/>
  <c r="I3" i="1"/>
  <c r="I2" i="1"/>
  <c r="J69" i="1" l="1"/>
  <c r="J62" i="1"/>
  <c r="J52" i="1"/>
  <c r="J45" i="1"/>
  <c r="J61" i="1"/>
  <c r="J51" i="1"/>
  <c r="J36" i="1"/>
  <c r="J80" i="1"/>
  <c r="J28" i="1"/>
  <c r="J49" i="1"/>
  <c r="J27" i="1"/>
  <c r="J58" i="1"/>
  <c r="J48" i="1"/>
  <c r="J71" i="1"/>
  <c r="J39" i="1"/>
  <c r="J32" i="1"/>
  <c r="J70" i="1"/>
  <c r="J63" i="1"/>
  <c r="J31" i="1"/>
  <c r="L31" i="1" s="1"/>
  <c r="J76" i="1"/>
  <c r="J82" i="1"/>
  <c r="J37" i="1"/>
  <c r="J30" i="1"/>
  <c r="J81" i="1"/>
  <c r="L81" i="1" s="1"/>
  <c r="J60" i="1"/>
  <c r="J43" i="1"/>
  <c r="L43" i="1" s="1"/>
  <c r="J59" i="1"/>
  <c r="L59" i="1" s="1"/>
  <c r="J42" i="1"/>
  <c r="L42" i="1" s="1"/>
  <c r="J41" i="1"/>
  <c r="J33" i="1"/>
  <c r="J53" i="1"/>
  <c r="J75" i="1"/>
  <c r="J68" i="1"/>
  <c r="J44" i="1"/>
  <c r="J29" i="1"/>
  <c r="L29" i="1" s="1"/>
  <c r="J74" i="1"/>
  <c r="J67" i="1"/>
  <c r="L67" i="1" s="1"/>
  <c r="J50" i="1"/>
  <c r="L50" i="1" s="1"/>
  <c r="J35" i="1"/>
  <c r="J73" i="1"/>
  <c r="J66" i="1"/>
  <c r="J79" i="1"/>
  <c r="J34" i="1"/>
  <c r="J72" i="1"/>
  <c r="J65" i="1"/>
  <c r="J78" i="1"/>
  <c r="J64" i="1"/>
  <c r="J54" i="1"/>
  <c r="J47" i="1"/>
  <c r="L47" i="1" s="1"/>
  <c r="J77" i="1"/>
  <c r="L77" i="1" s="1"/>
  <c r="J46" i="1"/>
  <c r="L46" i="1" s="1"/>
  <c r="J38" i="1"/>
  <c r="L38" i="1" s="1"/>
  <c r="K45" i="1"/>
  <c r="K54" i="1"/>
  <c r="K82" i="1"/>
  <c r="K37" i="1"/>
  <c r="K30" i="1"/>
  <c r="K44" i="1"/>
  <c r="K81" i="1"/>
  <c r="K29" i="1"/>
  <c r="K67" i="1"/>
  <c r="K50" i="1"/>
  <c r="K43" i="1"/>
  <c r="K35" i="1"/>
  <c r="K59" i="1"/>
  <c r="K27" i="1"/>
  <c r="K58" i="1"/>
  <c r="K41" i="1"/>
  <c r="K33" i="1"/>
  <c r="K71" i="1"/>
  <c r="K47" i="1"/>
  <c r="K77" i="1"/>
  <c r="K31" i="1"/>
  <c r="K52" i="1"/>
  <c r="K75" i="1"/>
  <c r="K36" i="1"/>
  <c r="K60" i="1"/>
  <c r="K73" i="1"/>
  <c r="K66" i="1"/>
  <c r="L66" i="1" s="1"/>
  <c r="K79" i="1"/>
  <c r="K72" i="1"/>
  <c r="K65" i="1"/>
  <c r="K48" i="1"/>
  <c r="K78" i="1"/>
  <c r="K64" i="1"/>
  <c r="K63" i="1"/>
  <c r="K53" i="1"/>
  <c r="K38" i="1"/>
  <c r="K62" i="1"/>
  <c r="K68" i="1"/>
  <c r="K61" i="1"/>
  <c r="K51" i="1"/>
  <c r="K74" i="1"/>
  <c r="K80" i="1"/>
  <c r="K28" i="1"/>
  <c r="K49" i="1"/>
  <c r="K42" i="1"/>
  <c r="K34" i="1"/>
  <c r="K39" i="1"/>
  <c r="K32" i="1"/>
  <c r="K70" i="1"/>
  <c r="K46" i="1"/>
  <c r="K69" i="1"/>
  <c r="K76" i="1"/>
  <c r="R38" i="3"/>
  <c r="R66" i="3"/>
  <c r="S66" i="3" s="1"/>
  <c r="R59" i="3"/>
  <c r="S59" i="3" s="1"/>
  <c r="R52" i="3"/>
  <c r="S52" i="3" s="1"/>
  <c r="S38" i="3"/>
  <c r="S45" i="3"/>
  <c r="S17" i="3"/>
  <c r="S31" i="3"/>
  <c r="S24" i="3"/>
  <c r="S10" i="3"/>
  <c r="J2" i="1"/>
  <c r="J139" i="1"/>
  <c r="J111" i="1"/>
  <c r="J83" i="1"/>
  <c r="J138" i="1"/>
  <c r="J110" i="1"/>
  <c r="J137" i="1"/>
  <c r="J109" i="1"/>
  <c r="J136" i="1"/>
  <c r="J108" i="1"/>
  <c r="J135" i="1"/>
  <c r="J107" i="1"/>
  <c r="J134" i="1"/>
  <c r="J106" i="1"/>
  <c r="J133" i="1"/>
  <c r="J105" i="1"/>
  <c r="J132" i="1"/>
  <c r="J104" i="1"/>
  <c r="J131" i="1"/>
  <c r="J103" i="1"/>
  <c r="J130" i="1"/>
  <c r="J102" i="1"/>
  <c r="J26" i="1"/>
  <c r="J129" i="1"/>
  <c r="J101" i="1"/>
  <c r="J25" i="1"/>
  <c r="J122" i="1"/>
  <c r="J55" i="1"/>
  <c r="J128" i="1"/>
  <c r="J100" i="1"/>
  <c r="J24" i="1"/>
  <c r="J127" i="1"/>
  <c r="J99" i="1"/>
  <c r="J23" i="1"/>
  <c r="J126" i="1"/>
  <c r="J98" i="1"/>
  <c r="J22" i="1"/>
  <c r="J125" i="1"/>
  <c r="J97" i="1"/>
  <c r="J21" i="1"/>
  <c r="J124" i="1"/>
  <c r="J96" i="1"/>
  <c r="J20" i="1"/>
  <c r="J123" i="1"/>
  <c r="J95" i="1"/>
  <c r="J18" i="1"/>
  <c r="J94" i="1"/>
  <c r="J17" i="1"/>
  <c r="J121" i="1"/>
  <c r="J93" i="1"/>
  <c r="J16" i="1"/>
  <c r="J120" i="1"/>
  <c r="J92" i="1"/>
  <c r="J15" i="1"/>
  <c r="J119" i="1"/>
  <c r="J91" i="1"/>
  <c r="J14" i="1"/>
  <c r="J118" i="1"/>
  <c r="J90" i="1"/>
  <c r="J13" i="1"/>
  <c r="J117" i="1"/>
  <c r="J89" i="1"/>
  <c r="J12" i="1"/>
  <c r="J116" i="1"/>
  <c r="J88" i="1"/>
  <c r="J19" i="1"/>
  <c r="J115" i="1"/>
  <c r="J87" i="1"/>
  <c r="J114" i="1"/>
  <c r="J86" i="1"/>
  <c r="J113" i="1"/>
  <c r="J85" i="1"/>
  <c r="J112" i="1"/>
  <c r="J84" i="1"/>
  <c r="J3" i="1"/>
  <c r="K129" i="1"/>
  <c r="K138" i="1"/>
  <c r="K83" i="1"/>
  <c r="K84" i="1"/>
  <c r="K85" i="1"/>
  <c r="K102" i="1"/>
  <c r="K103" i="1"/>
  <c r="K104" i="1"/>
  <c r="K105" i="1"/>
  <c r="K106" i="1"/>
  <c r="K107" i="1"/>
  <c r="K110" i="1"/>
  <c r="K111" i="1"/>
  <c r="K112" i="1"/>
  <c r="K113" i="1"/>
  <c r="K130" i="1"/>
  <c r="K131" i="1"/>
  <c r="K55" i="1"/>
  <c r="K136" i="1"/>
  <c r="K137" i="1"/>
  <c r="K26" i="1"/>
  <c r="K108" i="1"/>
  <c r="K109" i="1"/>
  <c r="K132" i="1"/>
  <c r="K133" i="1"/>
  <c r="K134" i="1"/>
  <c r="K135" i="1"/>
  <c r="K139" i="1"/>
  <c r="K86" i="1"/>
  <c r="K114" i="1"/>
  <c r="K11" i="1"/>
  <c r="K87" i="1"/>
  <c r="K115" i="1"/>
  <c r="K12" i="1"/>
  <c r="K88" i="1"/>
  <c r="K116" i="1"/>
  <c r="K13" i="1"/>
  <c r="K89" i="1"/>
  <c r="K117" i="1"/>
  <c r="K14" i="1"/>
  <c r="K90" i="1"/>
  <c r="K118" i="1"/>
  <c r="K15" i="1"/>
  <c r="K91" i="1"/>
  <c r="K119" i="1"/>
  <c r="K16" i="1"/>
  <c r="K92" i="1"/>
  <c r="K120" i="1"/>
  <c r="K17" i="1"/>
  <c r="K93" i="1"/>
  <c r="K121" i="1"/>
  <c r="K18" i="1"/>
  <c r="K94" i="1"/>
  <c r="K122" i="1"/>
  <c r="K19" i="1"/>
  <c r="K95" i="1"/>
  <c r="K123" i="1"/>
  <c r="K20" i="1"/>
  <c r="K96" i="1"/>
  <c r="K124" i="1"/>
  <c r="K21" i="1"/>
  <c r="K97" i="1"/>
  <c r="K125" i="1"/>
  <c r="K22" i="1"/>
  <c r="K98" i="1"/>
  <c r="K126" i="1"/>
  <c r="K23" i="1"/>
  <c r="K99" i="1"/>
  <c r="K127" i="1"/>
  <c r="K24" i="1"/>
  <c r="K100" i="1"/>
  <c r="K128" i="1"/>
  <c r="K25" i="1"/>
  <c r="K101" i="1"/>
  <c r="J4" i="1"/>
  <c r="J11" i="1"/>
  <c r="L60" i="1" l="1"/>
  <c r="L34" i="1"/>
  <c r="L44" i="1"/>
  <c r="L39" i="1"/>
  <c r="L70" i="1"/>
  <c r="L76" i="1"/>
  <c r="L32" i="1"/>
  <c r="L71" i="1"/>
  <c r="L41" i="1"/>
  <c r="L69" i="1"/>
  <c r="L63" i="1"/>
  <c r="L82" i="1"/>
  <c r="L54" i="1"/>
  <c r="L78" i="1"/>
  <c r="L72" i="1"/>
  <c r="L79" i="1"/>
  <c r="L48" i="1"/>
  <c r="L58" i="1"/>
  <c r="L27" i="1"/>
  <c r="L80" i="1"/>
  <c r="L51" i="1"/>
  <c r="L65" i="1"/>
  <c r="L28" i="1"/>
  <c r="L68" i="1"/>
  <c r="L61" i="1"/>
  <c r="L37" i="1"/>
  <c r="L64" i="1"/>
  <c r="L73" i="1"/>
  <c r="L49" i="1"/>
  <c r="L35" i="1"/>
  <c r="L75" i="1"/>
  <c r="L45" i="1"/>
  <c r="L74" i="1"/>
  <c r="L53" i="1"/>
  <c r="L52" i="1"/>
  <c r="L30" i="1"/>
  <c r="L36" i="1"/>
  <c r="L33" i="1"/>
  <c r="L62" i="1"/>
  <c r="L100" i="1"/>
  <c r="L91" i="1"/>
  <c r="L133" i="1"/>
  <c r="L107" i="1"/>
  <c r="L135" i="1"/>
  <c r="L13" i="1"/>
  <c r="L110" i="1"/>
  <c r="L128" i="1"/>
  <c r="L127" i="1"/>
  <c r="L117" i="1"/>
  <c r="L85" i="1"/>
  <c r="L14" i="1"/>
  <c r="L83" i="1"/>
  <c r="L129" i="1"/>
  <c r="L98" i="1"/>
  <c r="L101" i="1"/>
  <c r="L89" i="1"/>
  <c r="L108" i="1"/>
  <c r="L105" i="1"/>
  <c r="L21" i="1"/>
  <c r="L124" i="1"/>
  <c r="L102" i="1"/>
  <c r="L97" i="1"/>
  <c r="L15" i="1"/>
  <c r="L106" i="1"/>
  <c r="L103" i="1"/>
  <c r="L138" i="1"/>
  <c r="L111" i="1"/>
  <c r="L55" i="1"/>
  <c r="L25" i="1"/>
  <c r="L26" i="1"/>
  <c r="L115" i="1"/>
  <c r="L24" i="1"/>
  <c r="L109" i="1"/>
  <c r="L11" i="1"/>
  <c r="L18" i="1"/>
  <c r="L136" i="1"/>
  <c r="L93" i="1"/>
  <c r="L17" i="1"/>
  <c r="L122" i="1"/>
  <c r="L132" i="1"/>
  <c r="L134" i="1"/>
  <c r="L112" i="1"/>
  <c r="L96" i="1"/>
  <c r="L121" i="1"/>
  <c r="L137" i="1"/>
  <c r="L104" i="1"/>
  <c r="L114" i="1"/>
  <c r="L113" i="1"/>
  <c r="L86" i="1"/>
  <c r="L131" i="1"/>
  <c r="L84" i="1"/>
  <c r="L130" i="1"/>
  <c r="L139" i="1"/>
  <c r="L119" i="1"/>
  <c r="L22" i="1"/>
  <c r="L90" i="1"/>
  <c r="L118" i="1"/>
  <c r="L87" i="1"/>
  <c r="L99" i="1"/>
  <c r="L95" i="1"/>
  <c r="L92" i="1"/>
  <c r="L16" i="1"/>
  <c r="L120" i="1"/>
  <c r="L126" i="1"/>
  <c r="L116" i="1"/>
  <c r="L20" i="1"/>
  <c r="L123" i="1"/>
  <c r="L88" i="1"/>
  <c r="L23" i="1"/>
  <c r="L12" i="1"/>
  <c r="L19" i="1"/>
  <c r="L125" i="1"/>
  <c r="L94" i="1"/>
</calcChain>
</file>

<file path=xl/sharedStrings.xml><?xml version="1.0" encoding="utf-8"?>
<sst xmlns="http://schemas.openxmlformats.org/spreadsheetml/2006/main" count="224" uniqueCount="158">
  <si>
    <t>刀刃</t>
  </si>
  <si>
    <t>刀把</t>
  </si>
  <si>
    <t>刀鞘</t>
  </si>
  <si>
    <t>刀镡</t>
  </si>
  <si>
    <t>SUM</t>
  </si>
  <si>
    <t>TSUM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</si>
  <si>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</si>
  <si>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</si>
  <si>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</si>
  <si>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</si>
  <si>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</si>
  <si>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</si>
  <si>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</si>
  <si>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0+</t>
  </si>
  <si>
    <t>密度</t>
  </si>
  <si>
    <t>特殊行动冷却+%</t>
  </si>
  <si>
    <t>特殊行动冷却返回%</t>
  </si>
  <si>
    <t>护甲撕裂+%</t>
  </si>
  <si>
    <t>暴击率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</si>
  <si>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</si>
  <si>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</si>
  <si>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</si>
  <si>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</si>
  <si>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</si>
  <si>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</si>
  <si>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</si>
  <si>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行动力恢复效率+%</t>
  </si>
  <si>
    <t>癫火抵抗+%</t>
  </si>
  <si>
    <t>软的只能做刀镡</t>
  </si>
  <si>
    <t>硬/软</t>
  </si>
  <si>
    <t>攻击参考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</si>
  <si>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</si>
  <si>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</si>
  <si>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</si>
  <si>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</si>
  <si>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</si>
  <si>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</si>
  <si>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</si>
  <si>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</si>
  <si>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</si>
  <si>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</si>
  <si>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</si>
  <si>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</si>
  <si>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</si>
  <si>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</si>
  <si>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硬</t>
  </si>
  <si>
    <t>0.1.1</t>
  </si>
  <si>
    <t>0.1.2</t>
  </si>
  <si>
    <t>0.1.3</t>
  </si>
  <si>
    <t>1.1.0</t>
  </si>
  <si>
    <t>铜</t>
  </si>
  <si>
    <t>锡</t>
  </si>
  <si>
    <t>1.1.1</t>
  </si>
  <si>
    <t>铁</t>
  </si>
  <si>
    <t>银</t>
  </si>
  <si>
    <t>金</t>
  </si>
  <si>
    <t>1.1.2</t>
  </si>
  <si>
    <t>铅</t>
  </si>
  <si>
    <t>镍</t>
  </si>
  <si>
    <t>赛特斯石英</t>
  </si>
  <si>
    <t>1.1.3</t>
  </si>
  <si>
    <t>紫水晶</t>
  </si>
  <si>
    <t>钻石</t>
  </si>
  <si>
    <t>绿宝石</t>
  </si>
  <si>
    <t>1.2.0</t>
  </si>
  <si>
    <t>twilightforest:ironwood_ingot</t>
  </si>
  <si>
    <t>铁木锭</t>
  </si>
  <si>
    <t>护甲穿透+1</t>
  </si>
  <si>
    <t>1.2.1</t>
  </si>
  <si>
    <t>twilightforest:steeleaf_ingot</t>
  </si>
  <si>
    <t>钢叶锭</t>
  </si>
  <si>
    <t>twilightforest:arctic_fur</t>
  </si>
  <si>
    <t>极地毛皮</t>
  </si>
  <si>
    <t>软</t>
  </si>
  <si>
    <t>1.2.3</t>
  </si>
  <si>
    <t>twilightforest:naga_scale</t>
  </si>
  <si>
    <t>娜迦鳞片</t>
  </si>
  <si>
    <t>twilightforest:carminite</t>
  </si>
  <si>
    <t>砷铅铁矿石</t>
  </si>
  <si>
    <t>twilightforest:knightmetal_ingot</t>
  </si>
  <si>
    <t>骑士金属锭</t>
  </si>
  <si>
    <t>twilightforest:alpha_yeti_fur</t>
  </si>
  <si>
    <t>雪怪首领毛皮</t>
  </si>
  <si>
    <t>twilightforest:fiery_ingot</t>
  </si>
  <si>
    <t>赤铁锭</t>
  </si>
  <si>
    <t>火焰伤害+1</t>
  </si>
  <si>
    <t>癫火抵抗+0.05</t>
  </si>
  <si>
    <t>盔甲韧性</t>
    <phoneticPr fontId="1" type="noConversion"/>
  </si>
  <si>
    <t>盔甲护甲</t>
    <phoneticPr fontId="1" type="noConversion"/>
  </si>
  <si>
    <t>密度</t>
    <phoneticPr fontId="1" type="noConversion"/>
  </si>
  <si>
    <t>头</t>
    <phoneticPr fontId="1" type="noConversion"/>
  </si>
  <si>
    <t>胸</t>
    <phoneticPr fontId="1" type="noConversion"/>
  </si>
  <si>
    <t>腿</t>
    <phoneticPr fontId="1" type="noConversion"/>
  </si>
  <si>
    <t>脚</t>
    <phoneticPr fontId="1" type="noConversion"/>
  </si>
  <si>
    <t>基底</t>
    <phoneticPr fontId="1" type="noConversion"/>
  </si>
  <si>
    <t>左</t>
    <phoneticPr fontId="1" type="noConversion"/>
  </si>
  <si>
    <t>右</t>
    <phoneticPr fontId="1" type="noConversion"/>
  </si>
  <si>
    <t>腰带</t>
    <phoneticPr fontId="1" type="noConversion"/>
  </si>
  <si>
    <t>原版</t>
    <phoneticPr fontId="1" type="noConversion"/>
  </si>
  <si>
    <t>重型</t>
    <phoneticPr fontId="1" type="noConversion"/>
  </si>
  <si>
    <t>移速</t>
    <phoneticPr fontId="1" type="noConversion"/>
  </si>
  <si>
    <t>护甲公式</t>
    <phoneticPr fontId="1" type="noConversion"/>
  </si>
  <si>
    <t>护甲值</t>
    <phoneticPr fontId="1" type="noConversion"/>
  </si>
  <si>
    <t>护甲韧性</t>
    <phoneticPr fontId="1" type="noConversion"/>
  </si>
  <si>
    <t>行动力消耗</t>
    <phoneticPr fontId="1" type="noConversion"/>
  </si>
  <si>
    <t>渡鸦羽毛</t>
    <phoneticPr fontId="1" type="noConversion"/>
  </si>
  <si>
    <t>twilightforest:raven_feather</t>
    <phoneticPr fontId="1" type="noConversion"/>
  </si>
  <si>
    <t>软</t>
    <phoneticPr fontId="1" type="noConversion"/>
  </si>
  <si>
    <t>青铜</t>
    <phoneticPr fontId="1" type="noConversion"/>
  </si>
  <si>
    <t>钢</t>
    <phoneticPr fontId="1" type="noConversion"/>
  </si>
  <si>
    <t>神能晶</t>
    <phoneticPr fontId="1" type="noConversion"/>
  </si>
  <si>
    <t>生物晶</t>
    <phoneticPr fontId="1" type="noConversion"/>
  </si>
  <si>
    <t>紫晶石</t>
    <phoneticPr fontId="1" type="noConversion"/>
  </si>
  <si>
    <t>兔獠牙</t>
    <phoneticPr fontId="1" type="noConversion"/>
  </si>
  <si>
    <t>光之根</t>
    <phoneticPr fontId="1" type="noConversion"/>
  </si>
  <si>
    <t>感应砖</t>
  </si>
  <si>
    <t>天金混合物</t>
    <phoneticPr fontId="1" type="noConversion"/>
  </si>
  <si>
    <t>穹玉</t>
    <phoneticPr fontId="1" type="noConversion"/>
  </si>
  <si>
    <t>重力晶锭</t>
    <phoneticPr fontId="1" type="noConversion"/>
  </si>
  <si>
    <t>辉蓝晶锭</t>
    <phoneticPr fontId="1" type="noConversion"/>
  </si>
  <si>
    <t>海皇锭</t>
    <phoneticPr fontId="1" type="noConversion"/>
  </si>
  <si>
    <t>武神锭</t>
    <phoneticPr fontId="1" type="noConversion"/>
  </si>
  <si>
    <t>凤凰锭</t>
    <phoneticPr fontId="1" type="noConversion"/>
  </si>
  <si>
    <t>1.2.6</t>
    <phoneticPr fontId="1" type="noConversion"/>
  </si>
  <si>
    <t>云母钢锭</t>
    <phoneticPr fontId="1" type="noConversion"/>
  </si>
  <si>
    <t>1.1.4</t>
    <phoneticPr fontId="1" type="noConversion"/>
  </si>
  <si>
    <t>1.2.2</t>
    <phoneticPr fontId="1" type="noConversion"/>
  </si>
  <si>
    <t>1.2.4</t>
    <phoneticPr fontId="1" type="noConversion"/>
  </si>
  <si>
    <t>1.2.5</t>
    <phoneticPr fontId="1" type="noConversion"/>
  </si>
  <si>
    <t>1.2.7</t>
    <phoneticPr fontId="1" type="noConversion"/>
  </si>
  <si>
    <t>1.2.8</t>
    <phoneticPr fontId="1" type="noConversion"/>
  </si>
  <si>
    <t>aether:ambrosium_shard</t>
  </si>
  <si>
    <t>deep_aether:bio_crystal</t>
    <phoneticPr fontId="1" type="noConversion"/>
  </si>
  <si>
    <t>aether:zanite_gemstone</t>
  </si>
  <si>
    <t>aether_redux:blightbunny_fang</t>
  </si>
  <si>
    <t>aether_redux:lightroot_clump</t>
  </si>
  <si>
    <t>aether_redux:refined_sentrite</t>
  </si>
  <si>
    <t>风锻板</t>
    <phoneticPr fontId="1" type="noConversion"/>
  </si>
  <si>
    <t>aether_redux:veridium_ingot</t>
  </si>
  <si>
    <t>deep_aether:metal_mixture</t>
  </si>
  <si>
    <t>deep_aether:skyjade</t>
  </si>
  <si>
    <t>aether_redux:gravitite_ingot</t>
  </si>
  <si>
    <t>deep_aether:squall_plate</t>
  </si>
  <si>
    <t>kubejs:neptune_ingot</t>
  </si>
  <si>
    <t>kubejs:valkyrie_ingot</t>
  </si>
  <si>
    <t>kubejs:phoenix_ingot</t>
  </si>
  <si>
    <t>deep_aether:stratus_ingot</t>
  </si>
  <si>
    <t>护甲参考</t>
    <phoneticPr fontId="1" type="noConversion"/>
  </si>
  <si>
    <t>硬</t>
    <phoneticPr fontId="1" type="noConversion"/>
  </si>
  <si>
    <t>1.3.0</t>
    <phoneticPr fontId="1" type="noConversion"/>
  </si>
  <si>
    <t>1.4.0</t>
    <phoneticPr fontId="1" type="noConversion"/>
  </si>
  <si>
    <t>1.4.1</t>
    <phoneticPr fontId="1" type="noConversion"/>
  </si>
  <si>
    <t>aether_redux:mykapod_shell_chunk</t>
    <phoneticPr fontId="1" type="noConversion"/>
  </si>
  <si>
    <t>蜗牛壳</t>
    <phoneticPr fontId="1" type="noConversion"/>
  </si>
  <si>
    <t>1.4.2</t>
    <phoneticPr fontId="1" type="noConversion"/>
  </si>
  <si>
    <t>1.2.9</t>
    <phoneticPr fontId="1" type="noConversion"/>
  </si>
  <si>
    <t>石械核芯</t>
    <phoneticPr fontId="1" type="noConversion"/>
  </si>
  <si>
    <t>aether_redux:sentry_chip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</si>
</sst>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zoomScale="85" zoomScaleNormal="85" workbookViewId="0">
      <pane xSplit="6" ySplit="10" topLeftCell="G32" activePane="bottomRight" state="frozen"/>
      <selection pane="topRight"/>
      <selection pane="bottomLeft"/>
      <selection pane="bottomRight" activeCell="D41" sqref="D41"/>
    </sheetView>
  </sheetViews>
  <sheetFormatPr defaultColWidth="16.58203125" defaultRowHeight="20" customHeight="1" x14ac:dyDescent="0.3"/>
  <cols>
    <col min="1" max="3" width="8.58203125" style="1" customWidth="1"/>
    <col min="4" max="5" width="16.58203125" style="1" customWidth="1"/>
    <col min="6" max="6" width="8.58203125" style="1" customWidth="1"/>
    <col min="7" max="16" width="12.58203125" style="1" customWidth="1"/>
    <col min="17" max="19" width="15.58203125" style="1" customWidth="1"/>
    <col min="20" max="16384" width="16.58203125" style="1"/>
  </cols>
  <sheetData>
    <row r="1" spans="1:19" ht="20" customHeight="1" x14ac:dyDescent="0.3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M1" s="15" t="s">
        <v>101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ht="20" customHeight="1" x14ac:dyDescent="0.3">
      <c r="C2" s="1" t="s">
        <v>11</v>
      </c>
      <c r="D2" s="1" t="s">
        <v>12</v>
      </c>
      <c r="E2" s="2">
        <v>1</v>
      </c>
      <c r="F2" s="2">
        <v>0.5</v>
      </c>
      <c r="G2" s="2">
        <v>1</v>
      </c>
      <c r="H2" s="2">
        <v>-0.5</v>
      </c>
      <c r="I2" s="3">
        <f t="shared" ref="I2:I7" si="0">SUM(E2:H2)</f>
        <v>2</v>
      </c>
      <c r="J2" s="1">
        <f>I2+I5</f>
        <v>2.5</v>
      </c>
      <c r="L2" s="15" t="s">
        <v>102</v>
      </c>
      <c r="M2" s="1">
        <v>6.25</v>
      </c>
      <c r="P2" s="1" t="s">
        <v>13</v>
      </c>
      <c r="Q2" s="1" t="s">
        <v>13</v>
      </c>
      <c r="R2" s="1" t="s">
        <v>13</v>
      </c>
      <c r="S2" s="1" t="s">
        <v>13</v>
      </c>
    </row>
    <row r="3" spans="1:19" ht="20" customHeight="1" x14ac:dyDescent="0.3">
      <c r="D3" s="15" t="s">
        <v>89</v>
      </c>
      <c r="E3" s="2">
        <v>0.5</v>
      </c>
      <c r="F3" s="2">
        <v>0</v>
      </c>
      <c r="G3" s="2">
        <v>-0.5</v>
      </c>
      <c r="H3" s="2">
        <v>0.5</v>
      </c>
      <c r="I3" s="3">
        <f t="shared" si="0"/>
        <v>0.5</v>
      </c>
      <c r="J3" s="1">
        <f>I3+I6</f>
        <v>1</v>
      </c>
      <c r="L3" s="15" t="s">
        <v>103</v>
      </c>
      <c r="M3" s="1">
        <v>1.5</v>
      </c>
      <c r="P3" s="1" t="s">
        <v>15</v>
      </c>
      <c r="Q3" s="1" t="s">
        <v>16</v>
      </c>
      <c r="R3" s="1" t="s">
        <v>17</v>
      </c>
      <c r="S3" s="1" t="s">
        <v>18</v>
      </c>
    </row>
    <row r="4" spans="1:19" ht="20" customHeight="1" x14ac:dyDescent="0.3">
      <c r="C4" s="15" t="s">
        <v>88</v>
      </c>
      <c r="D4" s="1" t="s">
        <v>19</v>
      </c>
      <c r="E4" s="2">
        <v>0</v>
      </c>
      <c r="F4" s="2">
        <v>0</v>
      </c>
      <c r="G4" s="2">
        <v>0</v>
      </c>
      <c r="H4" s="2">
        <v>0</v>
      </c>
      <c r="I4" s="3">
        <f t="shared" si="0"/>
        <v>0</v>
      </c>
      <c r="J4" s="1">
        <f>I4+I7</f>
        <v>0</v>
      </c>
      <c r="P4" s="1" t="s">
        <v>20</v>
      </c>
      <c r="Q4" s="1" t="s">
        <v>21</v>
      </c>
      <c r="R4" s="1" t="s">
        <v>13</v>
      </c>
      <c r="S4" s="1" t="s">
        <v>13</v>
      </c>
    </row>
    <row r="5" spans="1:19" ht="20" customHeight="1" x14ac:dyDescent="0.3">
      <c r="C5" s="1" t="s">
        <v>22</v>
      </c>
      <c r="D5" s="1" t="s">
        <v>12</v>
      </c>
      <c r="E5" s="2">
        <v>-0.5</v>
      </c>
      <c r="F5" s="2">
        <v>0.5</v>
      </c>
      <c r="G5" s="2">
        <v>0</v>
      </c>
      <c r="H5" s="2">
        <v>0.5</v>
      </c>
      <c r="I5" s="3">
        <f t="shared" si="0"/>
        <v>0.5</v>
      </c>
      <c r="P5" s="1" t="s">
        <v>23</v>
      </c>
      <c r="Q5" s="1" t="s">
        <v>24</v>
      </c>
      <c r="R5" s="1" t="s">
        <v>25</v>
      </c>
    </row>
    <row r="6" spans="1:19" ht="20" customHeight="1" x14ac:dyDescent="0.3">
      <c r="D6" s="1" t="s">
        <v>14</v>
      </c>
      <c r="E6" s="2">
        <v>1</v>
      </c>
      <c r="F6" s="2">
        <v>-1</v>
      </c>
      <c r="G6" s="2">
        <v>0.5</v>
      </c>
      <c r="H6" s="2">
        <v>0</v>
      </c>
      <c r="I6" s="3">
        <f t="shared" si="0"/>
        <v>0.5</v>
      </c>
      <c r="P6" s="1" t="s">
        <v>13</v>
      </c>
      <c r="Q6" s="1" t="s">
        <v>13</v>
      </c>
      <c r="R6" s="1" t="s">
        <v>13</v>
      </c>
    </row>
    <row r="7" spans="1:19" ht="20" customHeight="1" x14ac:dyDescent="0.3">
      <c r="C7" s="15" t="s">
        <v>87</v>
      </c>
      <c r="D7" s="1" t="s">
        <v>19</v>
      </c>
      <c r="E7" s="2">
        <v>0</v>
      </c>
      <c r="F7" s="2">
        <v>0</v>
      </c>
      <c r="G7" s="2">
        <v>0</v>
      </c>
      <c r="H7" s="2">
        <v>0</v>
      </c>
      <c r="I7" s="3">
        <f t="shared" si="0"/>
        <v>0</v>
      </c>
      <c r="P7" s="1" t="s">
        <v>26</v>
      </c>
      <c r="Q7" s="1" t="s">
        <v>27</v>
      </c>
    </row>
    <row r="8" spans="1:19" ht="20" customHeight="1" x14ac:dyDescent="0.3">
      <c r="F8" s="1" t="s">
        <v>28</v>
      </c>
      <c r="P8" s="1" t="s">
        <v>13</v>
      </c>
      <c r="Q8" s="1" t="s">
        <v>13</v>
      </c>
    </row>
    <row r="9" spans="1:19" ht="20" customHeight="1" x14ac:dyDescent="0.3">
      <c r="F9" s="1" t="s">
        <v>29</v>
      </c>
      <c r="G9" s="1" t="s">
        <v>12</v>
      </c>
      <c r="H9" s="1" t="s">
        <v>14</v>
      </c>
      <c r="I9" s="1" t="s">
        <v>19</v>
      </c>
    </row>
    <row r="10" spans="1:19" ht="20" customHeight="1" x14ac:dyDescent="0.3">
      <c r="A10" s="1" t="s">
        <v>30</v>
      </c>
      <c r="B10" s="15" t="s">
        <v>147</v>
      </c>
      <c r="C10" s="4" t="s">
        <v>31</v>
      </c>
      <c r="D10" s="4" t="s">
        <v>32</v>
      </c>
      <c r="E10" s="4" t="s">
        <v>33</v>
      </c>
      <c r="F10" s="4" t="s">
        <v>34</v>
      </c>
      <c r="G10" s="5" t="s">
        <v>35</v>
      </c>
      <c r="H10" s="6" t="s">
        <v>36</v>
      </c>
      <c r="I10" s="7" t="s">
        <v>37</v>
      </c>
      <c r="J10" s="10" t="s">
        <v>11</v>
      </c>
      <c r="K10" s="10" t="s">
        <v>22</v>
      </c>
      <c r="L10" s="11" t="s">
        <v>38</v>
      </c>
      <c r="M10" s="17" t="s">
        <v>88</v>
      </c>
      <c r="N10" s="17" t="s">
        <v>87</v>
      </c>
      <c r="O10" s="12" t="s">
        <v>39</v>
      </c>
      <c r="P10" s="12" t="s">
        <v>40</v>
      </c>
      <c r="Q10" s="4" t="s">
        <v>41</v>
      </c>
      <c r="R10" s="4" t="s">
        <v>42</v>
      </c>
      <c r="S10" s="4" t="s">
        <v>43</v>
      </c>
    </row>
    <row r="11" spans="1:19" ht="20" customHeight="1" x14ac:dyDescent="0.3">
      <c r="A11" s="1">
        <v>2</v>
      </c>
      <c r="B11" s="1">
        <v>4</v>
      </c>
      <c r="C11" s="2" t="s">
        <v>44</v>
      </c>
      <c r="D11" s="2"/>
      <c r="E11" s="2"/>
      <c r="F11" s="2" t="s">
        <v>45</v>
      </c>
      <c r="G11" s="2">
        <v>2</v>
      </c>
      <c r="H11" s="2">
        <v>0.5</v>
      </c>
      <c r="I11" s="2">
        <v>1</v>
      </c>
      <c r="J11" s="13">
        <f t="shared" ref="J11" si="1">(G11*$I$2)+(H11*$I$3)+(I11*$I$4)</f>
        <v>4.25</v>
      </c>
      <c r="K11" s="2">
        <f t="shared" ref="K11:K94" si="2">(G11*$I$5)+(H11*$I$6)+(I11*$I$7)</f>
        <v>1.25</v>
      </c>
      <c r="L11" s="14">
        <f t="shared" ref="L11:L54" si="3">J11+K11</f>
        <v>5.5</v>
      </c>
      <c r="M11" s="16">
        <f>I11*$M$2</f>
        <v>6.25</v>
      </c>
      <c r="N11" s="16">
        <f>I11*$M$3</f>
        <v>1.5</v>
      </c>
      <c r="O11" s="2">
        <v>1</v>
      </c>
      <c r="P11" s="2">
        <v>1</v>
      </c>
      <c r="Q11" s="2"/>
      <c r="R11" s="2"/>
      <c r="S11" s="2"/>
    </row>
    <row r="12" spans="1:19" ht="20" customHeight="1" x14ac:dyDescent="0.3">
      <c r="C12" s="2"/>
      <c r="D12" s="2"/>
      <c r="E12" s="2"/>
      <c r="F12" s="2"/>
      <c r="G12" s="2"/>
      <c r="H12" s="2"/>
      <c r="I12" s="2"/>
      <c r="J12" s="13">
        <f t="shared" ref="J12:J18" si="4">(G12*$I$2)+(H12*$I$3)</f>
        <v>0</v>
      </c>
      <c r="K12" s="2">
        <f t="shared" si="2"/>
        <v>0</v>
      </c>
      <c r="L12" s="14">
        <f t="shared" si="3"/>
        <v>0</v>
      </c>
      <c r="M12" s="16">
        <f t="shared" ref="M12:M95" si="5">I12*$M$2</f>
        <v>0</v>
      </c>
      <c r="N12" s="16">
        <f t="shared" ref="N12:N95" si="6">I12*$M$3</f>
        <v>0</v>
      </c>
      <c r="O12" s="2"/>
      <c r="P12" s="2"/>
      <c r="Q12" s="2"/>
      <c r="R12" s="2"/>
      <c r="S12" s="2"/>
    </row>
    <row r="13" spans="1:19" ht="20" customHeight="1" x14ac:dyDescent="0.3">
      <c r="A13" s="1">
        <v>3</v>
      </c>
      <c r="B13" s="1">
        <v>5</v>
      </c>
      <c r="C13" s="2" t="s">
        <v>46</v>
      </c>
      <c r="D13" s="2"/>
      <c r="E13" s="2"/>
      <c r="F13" s="2"/>
      <c r="G13" s="2"/>
      <c r="H13" s="2"/>
      <c r="I13" s="2"/>
      <c r="J13" s="13">
        <f t="shared" si="4"/>
        <v>0</v>
      </c>
      <c r="K13" s="2">
        <f t="shared" si="2"/>
        <v>0</v>
      </c>
      <c r="L13" s="14">
        <f t="shared" si="3"/>
        <v>0</v>
      </c>
      <c r="M13" s="16">
        <f t="shared" si="5"/>
        <v>0</v>
      </c>
      <c r="N13" s="16">
        <f t="shared" si="6"/>
        <v>0</v>
      </c>
      <c r="O13" s="2"/>
      <c r="P13" s="2"/>
      <c r="Q13" s="2"/>
      <c r="R13" s="2"/>
      <c r="S13" s="2"/>
    </row>
    <row r="14" spans="1:19" ht="20" customHeight="1" x14ac:dyDescent="0.3">
      <c r="C14" s="2"/>
      <c r="D14" s="2"/>
      <c r="E14" s="2"/>
      <c r="F14" s="2"/>
      <c r="G14" s="2"/>
      <c r="H14" s="2"/>
      <c r="I14" s="2"/>
      <c r="J14" s="13">
        <f t="shared" si="4"/>
        <v>0</v>
      </c>
      <c r="K14" s="2">
        <f t="shared" si="2"/>
        <v>0</v>
      </c>
      <c r="L14" s="14">
        <f t="shared" si="3"/>
        <v>0</v>
      </c>
      <c r="M14" s="16">
        <f t="shared" si="5"/>
        <v>0</v>
      </c>
      <c r="N14" s="16">
        <f t="shared" si="6"/>
        <v>0</v>
      </c>
      <c r="O14" s="2"/>
      <c r="P14" s="2"/>
      <c r="Q14" s="2"/>
      <c r="R14" s="2"/>
      <c r="S14" s="2"/>
    </row>
    <row r="15" spans="1:19" ht="20" customHeight="1" x14ac:dyDescent="0.3">
      <c r="A15" s="1">
        <v>4</v>
      </c>
      <c r="B15" s="1">
        <v>6</v>
      </c>
      <c r="C15" s="2" t="s">
        <v>47</v>
      </c>
      <c r="D15" s="2"/>
      <c r="E15" s="2"/>
      <c r="F15" s="2"/>
      <c r="G15" s="2"/>
      <c r="H15" s="2"/>
      <c r="I15" s="2"/>
      <c r="J15" s="13">
        <f t="shared" si="4"/>
        <v>0</v>
      </c>
      <c r="K15" s="2">
        <f t="shared" si="2"/>
        <v>0</v>
      </c>
      <c r="L15" s="14">
        <f t="shared" si="3"/>
        <v>0</v>
      </c>
      <c r="M15" s="16">
        <f t="shared" si="5"/>
        <v>0</v>
      </c>
      <c r="N15" s="16">
        <f t="shared" si="6"/>
        <v>0</v>
      </c>
      <c r="O15" s="2"/>
      <c r="P15" s="2"/>
      <c r="Q15" s="2"/>
      <c r="R15" s="2"/>
      <c r="S15" s="2"/>
    </row>
    <row r="16" spans="1:19" ht="20" customHeight="1" x14ac:dyDescent="0.3">
      <c r="C16" s="2"/>
      <c r="D16" s="2"/>
      <c r="E16" s="2"/>
      <c r="F16" s="2"/>
      <c r="G16" s="2"/>
      <c r="H16" s="2"/>
      <c r="I16" s="2"/>
      <c r="J16" s="13">
        <f t="shared" si="4"/>
        <v>0</v>
      </c>
      <c r="K16" s="2">
        <f t="shared" si="2"/>
        <v>0</v>
      </c>
      <c r="L16" s="14">
        <f t="shared" si="3"/>
        <v>0</v>
      </c>
      <c r="M16" s="16">
        <f t="shared" si="5"/>
        <v>0</v>
      </c>
      <c r="N16" s="16">
        <f t="shared" si="6"/>
        <v>0</v>
      </c>
      <c r="O16" s="2"/>
      <c r="P16" s="2"/>
      <c r="Q16" s="2"/>
      <c r="R16" s="2"/>
      <c r="S16" s="2"/>
    </row>
    <row r="17" spans="1:19" ht="20" customHeight="1" x14ac:dyDescent="0.3">
      <c r="A17" s="1">
        <v>6</v>
      </c>
      <c r="B17" s="1">
        <v>8</v>
      </c>
      <c r="C17" s="2" t="s">
        <v>48</v>
      </c>
      <c r="D17" s="2"/>
      <c r="E17" s="2"/>
      <c r="F17" s="2"/>
      <c r="G17" s="2"/>
      <c r="H17" s="2"/>
      <c r="I17" s="2"/>
      <c r="J17" s="13">
        <f t="shared" si="4"/>
        <v>0</v>
      </c>
      <c r="K17" s="2">
        <f t="shared" si="2"/>
        <v>0</v>
      </c>
      <c r="L17" s="14">
        <f t="shared" si="3"/>
        <v>0</v>
      </c>
      <c r="M17" s="16">
        <f t="shared" si="5"/>
        <v>0</v>
      </c>
      <c r="N17" s="16">
        <f t="shared" si="6"/>
        <v>0</v>
      </c>
      <c r="O17" s="2"/>
      <c r="P17" s="2"/>
      <c r="Q17" s="2"/>
      <c r="R17" s="2"/>
      <c r="S17" s="2"/>
    </row>
    <row r="18" spans="1:19" ht="20" customHeight="1" x14ac:dyDescent="0.3">
      <c r="C18" s="2"/>
      <c r="D18" s="2"/>
      <c r="E18" s="2"/>
      <c r="F18" s="2"/>
      <c r="G18" s="2"/>
      <c r="H18" s="2"/>
      <c r="I18" s="2"/>
      <c r="J18" s="13">
        <f t="shared" si="4"/>
        <v>0</v>
      </c>
      <c r="K18" s="2">
        <f t="shared" si="2"/>
        <v>0</v>
      </c>
      <c r="L18" s="14">
        <f t="shared" si="3"/>
        <v>0</v>
      </c>
      <c r="M18" s="16">
        <f t="shared" si="5"/>
        <v>0</v>
      </c>
      <c r="N18" s="16">
        <f t="shared" si="6"/>
        <v>0</v>
      </c>
      <c r="O18" s="2"/>
      <c r="P18" s="2"/>
      <c r="Q18" s="2"/>
      <c r="R18" s="2"/>
      <c r="S18" s="2"/>
    </row>
    <row r="19" spans="1:19" ht="20" customHeight="1" x14ac:dyDescent="0.3">
      <c r="A19" s="1">
        <v>4</v>
      </c>
      <c r="B19" s="1">
        <v>6</v>
      </c>
      <c r="C19" s="8" t="s">
        <v>49</v>
      </c>
      <c r="D19" s="8"/>
      <c r="E19" s="8" t="s">
        <v>50</v>
      </c>
      <c r="F19" s="8" t="s">
        <v>45</v>
      </c>
      <c r="G19" s="18">
        <v>2</v>
      </c>
      <c r="H19" s="8">
        <v>0.5</v>
      </c>
      <c r="I19" s="8"/>
      <c r="J19" s="13">
        <f>(G19*$I$2)+(H19*$I$3)</f>
        <v>4.25</v>
      </c>
      <c r="K19" s="2">
        <f t="shared" si="2"/>
        <v>1.25</v>
      </c>
      <c r="L19" s="14">
        <f t="shared" si="3"/>
        <v>5.5</v>
      </c>
      <c r="M19" s="16">
        <f t="shared" si="5"/>
        <v>0</v>
      </c>
      <c r="N19" s="16">
        <f t="shared" si="6"/>
        <v>0</v>
      </c>
      <c r="O19" s="2"/>
      <c r="P19" s="2"/>
      <c r="Q19" s="2"/>
      <c r="R19" s="2"/>
      <c r="S19" s="2"/>
    </row>
    <row r="20" spans="1:19" ht="20" customHeight="1" x14ac:dyDescent="0.3">
      <c r="C20" s="8"/>
      <c r="D20" s="8"/>
      <c r="E20" s="8" t="s">
        <v>51</v>
      </c>
      <c r="F20" s="8" t="s">
        <v>45</v>
      </c>
      <c r="G20" s="8">
        <v>3.7</v>
      </c>
      <c r="H20" s="8">
        <v>0.5</v>
      </c>
      <c r="I20" s="8"/>
      <c r="J20" s="13">
        <f t="shared" ref="J20:J103" si="7">(G20*$I$2)+(H20*$I$3)</f>
        <v>7.65</v>
      </c>
      <c r="K20" s="2">
        <f t="shared" si="2"/>
        <v>2.1</v>
      </c>
      <c r="L20" s="14">
        <f t="shared" si="3"/>
        <v>9.75</v>
      </c>
      <c r="M20" s="16">
        <f t="shared" si="5"/>
        <v>0</v>
      </c>
      <c r="N20" s="16">
        <f t="shared" si="6"/>
        <v>0</v>
      </c>
      <c r="O20" s="2"/>
      <c r="P20" s="2"/>
      <c r="Q20" s="2"/>
      <c r="R20" s="2"/>
      <c r="S20" s="2"/>
    </row>
    <row r="21" spans="1:19" ht="20" customHeight="1" x14ac:dyDescent="0.3">
      <c r="A21" s="1">
        <v>5</v>
      </c>
      <c r="B21" s="1">
        <v>7</v>
      </c>
      <c r="C21" s="5" t="s">
        <v>52</v>
      </c>
      <c r="D21" s="5"/>
      <c r="E21" s="5" t="s">
        <v>53</v>
      </c>
      <c r="F21" s="5" t="s">
        <v>45</v>
      </c>
      <c r="G21" s="5">
        <v>4</v>
      </c>
      <c r="H21" s="5">
        <v>0.5</v>
      </c>
      <c r="I21" s="5"/>
      <c r="J21" s="13">
        <f t="shared" si="7"/>
        <v>8.25</v>
      </c>
      <c r="K21" s="2">
        <f t="shared" si="2"/>
        <v>2.25</v>
      </c>
      <c r="L21" s="14">
        <f t="shared" si="3"/>
        <v>10.5</v>
      </c>
      <c r="M21" s="16">
        <f t="shared" si="5"/>
        <v>0</v>
      </c>
      <c r="N21" s="16">
        <f t="shared" si="6"/>
        <v>0</v>
      </c>
      <c r="O21" s="2"/>
      <c r="P21" s="2"/>
      <c r="Q21" s="2"/>
      <c r="R21" s="2"/>
      <c r="S21" s="2"/>
    </row>
    <row r="22" spans="1:19" ht="20" customHeight="1" x14ac:dyDescent="0.3">
      <c r="C22" s="5"/>
      <c r="D22" s="5"/>
      <c r="E22" s="5" t="s">
        <v>54</v>
      </c>
      <c r="F22" s="5" t="s">
        <v>45</v>
      </c>
      <c r="G22" s="5">
        <v>3.9</v>
      </c>
      <c r="H22" s="5">
        <v>1</v>
      </c>
      <c r="I22" s="5"/>
      <c r="J22" s="13">
        <f t="shared" si="7"/>
        <v>8.3000000000000007</v>
      </c>
      <c r="K22" s="2">
        <f t="shared" si="2"/>
        <v>2.4500000000000002</v>
      </c>
      <c r="L22" s="14">
        <f t="shared" si="3"/>
        <v>10.75</v>
      </c>
      <c r="M22" s="16">
        <f t="shared" si="5"/>
        <v>0</v>
      </c>
      <c r="N22" s="16">
        <f t="shared" si="6"/>
        <v>0</v>
      </c>
      <c r="O22" s="2"/>
      <c r="P22" s="2"/>
      <c r="Q22" s="2"/>
      <c r="R22" s="2"/>
      <c r="S22" s="2"/>
    </row>
    <row r="23" spans="1:19" ht="20" customHeight="1" x14ac:dyDescent="0.3">
      <c r="C23" s="5"/>
      <c r="D23" s="5"/>
      <c r="E23" s="5" t="s">
        <v>55</v>
      </c>
      <c r="F23" s="5" t="s">
        <v>45</v>
      </c>
      <c r="G23" s="5">
        <v>3.8</v>
      </c>
      <c r="H23" s="5">
        <v>1.5</v>
      </c>
      <c r="I23" s="5"/>
      <c r="J23" s="13">
        <f t="shared" si="7"/>
        <v>8.35</v>
      </c>
      <c r="K23" s="2">
        <f t="shared" si="2"/>
        <v>2.65</v>
      </c>
      <c r="L23" s="14">
        <f t="shared" si="3"/>
        <v>11</v>
      </c>
      <c r="M23" s="16">
        <f t="shared" si="5"/>
        <v>0</v>
      </c>
      <c r="N23" s="16">
        <f t="shared" si="6"/>
        <v>0</v>
      </c>
      <c r="O23" s="2"/>
      <c r="P23" s="2"/>
      <c r="Q23" s="2"/>
      <c r="R23" s="2"/>
      <c r="S23" s="2"/>
    </row>
    <row r="24" spans="1:19" ht="20" customHeight="1" x14ac:dyDescent="0.3">
      <c r="A24" s="1">
        <v>6</v>
      </c>
      <c r="B24" s="1">
        <v>8</v>
      </c>
      <c r="C24" s="8" t="s">
        <v>56</v>
      </c>
      <c r="D24" s="8"/>
      <c r="E24" s="8" t="s">
        <v>57</v>
      </c>
      <c r="F24" s="8" t="s">
        <v>45</v>
      </c>
      <c r="G24" s="9">
        <v>4</v>
      </c>
      <c r="H24" s="8">
        <v>1.3</v>
      </c>
      <c r="I24" s="8"/>
      <c r="J24" s="13">
        <f t="shared" si="7"/>
        <v>8.65</v>
      </c>
      <c r="K24" s="2">
        <f t="shared" si="2"/>
        <v>2.65</v>
      </c>
      <c r="L24" s="14">
        <f t="shared" si="3"/>
        <v>11.3</v>
      </c>
      <c r="M24" s="16">
        <f t="shared" si="5"/>
        <v>0</v>
      </c>
      <c r="N24" s="16">
        <f t="shared" si="6"/>
        <v>0</v>
      </c>
      <c r="O24" s="2"/>
      <c r="P24" s="2"/>
      <c r="Q24" s="2"/>
      <c r="R24" s="2"/>
      <c r="S24" s="2"/>
    </row>
    <row r="25" spans="1:19" ht="20" customHeight="1" x14ac:dyDescent="0.3">
      <c r="C25" s="8"/>
      <c r="D25" s="8"/>
      <c r="E25" s="8" t="s">
        <v>58</v>
      </c>
      <c r="F25" s="8" t="s">
        <v>45</v>
      </c>
      <c r="G25" s="8">
        <v>4</v>
      </c>
      <c r="H25" s="8">
        <v>1.1000000000000001</v>
      </c>
      <c r="I25" s="8"/>
      <c r="J25" s="13">
        <f t="shared" si="7"/>
        <v>8.5500000000000007</v>
      </c>
      <c r="K25" s="2">
        <f t="shared" si="2"/>
        <v>2.5499999999999998</v>
      </c>
      <c r="L25" s="14">
        <f t="shared" si="3"/>
        <v>11.100000000000001</v>
      </c>
      <c r="M25" s="16">
        <f t="shared" si="5"/>
        <v>0</v>
      </c>
      <c r="N25" s="16">
        <f t="shared" si="6"/>
        <v>0</v>
      </c>
      <c r="O25" s="2"/>
      <c r="P25" s="2"/>
      <c r="Q25" s="2"/>
      <c r="R25" s="2"/>
      <c r="S25" s="2"/>
    </row>
    <row r="26" spans="1:19" ht="20" customHeight="1" x14ac:dyDescent="0.3">
      <c r="C26" s="8"/>
      <c r="D26" s="8"/>
      <c r="E26" s="8" t="s">
        <v>59</v>
      </c>
      <c r="F26" s="18" t="s">
        <v>148</v>
      </c>
      <c r="G26" s="8">
        <v>4.2</v>
      </c>
      <c r="H26" s="8">
        <v>1.3</v>
      </c>
      <c r="I26" s="8"/>
      <c r="J26" s="13">
        <f t="shared" si="7"/>
        <v>9.0500000000000007</v>
      </c>
      <c r="K26" s="2">
        <f t="shared" si="2"/>
        <v>2.75</v>
      </c>
      <c r="L26" s="14">
        <f t="shared" si="3"/>
        <v>11.8</v>
      </c>
      <c r="M26" s="16">
        <f t="shared" si="5"/>
        <v>0</v>
      </c>
      <c r="N26" s="16">
        <f t="shared" si="6"/>
        <v>0</v>
      </c>
      <c r="O26" s="2"/>
      <c r="P26" s="2"/>
      <c r="Q26" s="2"/>
      <c r="R26" s="2"/>
      <c r="S26" s="2"/>
    </row>
    <row r="27" spans="1:19" ht="20" customHeight="1" x14ac:dyDescent="0.3">
      <c r="A27" s="1">
        <v>8</v>
      </c>
      <c r="B27" s="1">
        <v>9</v>
      </c>
      <c r="C27" s="5" t="s">
        <v>60</v>
      </c>
      <c r="D27" s="5"/>
      <c r="E27" s="5" t="s">
        <v>61</v>
      </c>
      <c r="F27" s="5" t="s">
        <v>45</v>
      </c>
      <c r="G27" s="5">
        <v>4.5999999999999996</v>
      </c>
      <c r="H27" s="5">
        <v>0.5</v>
      </c>
      <c r="I27" s="5"/>
      <c r="J27" s="13">
        <f t="shared" si="7"/>
        <v>9.4499999999999993</v>
      </c>
      <c r="K27" s="2">
        <f t="shared" si="2"/>
        <v>2.5499999999999998</v>
      </c>
      <c r="L27" s="14">
        <f t="shared" si="3"/>
        <v>12</v>
      </c>
      <c r="M27" s="16">
        <f t="shared" ref="M27:M54" si="8">I27*$M$2</f>
        <v>0</v>
      </c>
      <c r="N27" s="16">
        <f t="shared" ref="N27:N54" si="9">I27*$M$3</f>
        <v>0</v>
      </c>
      <c r="O27" s="2"/>
      <c r="P27" s="2"/>
      <c r="Q27" s="2"/>
      <c r="R27" s="2"/>
      <c r="S27" s="2"/>
    </row>
    <row r="28" spans="1:19" ht="20" customHeight="1" x14ac:dyDescent="0.3">
      <c r="C28" s="5"/>
      <c r="D28" s="5"/>
      <c r="E28" s="20" t="s">
        <v>108</v>
      </c>
      <c r="F28" s="5" t="s">
        <v>45</v>
      </c>
      <c r="G28" s="5"/>
      <c r="H28" s="5"/>
      <c r="I28" s="5"/>
      <c r="J28" s="13">
        <f t="shared" si="7"/>
        <v>0</v>
      </c>
      <c r="K28" s="2">
        <f t="shared" si="2"/>
        <v>0</v>
      </c>
      <c r="L28" s="14">
        <f t="shared" si="3"/>
        <v>0</v>
      </c>
      <c r="M28" s="16">
        <f t="shared" si="8"/>
        <v>0</v>
      </c>
      <c r="N28" s="16">
        <f t="shared" si="9"/>
        <v>0</v>
      </c>
      <c r="O28" s="2"/>
      <c r="P28" s="2"/>
      <c r="Q28" s="2"/>
      <c r="R28" s="2"/>
      <c r="S28" s="2"/>
    </row>
    <row r="29" spans="1:19" ht="20" customHeight="1" x14ac:dyDescent="0.3">
      <c r="C29" s="5"/>
      <c r="D29" s="5"/>
      <c r="E29" s="20" t="s">
        <v>109</v>
      </c>
      <c r="F29" s="5" t="s">
        <v>45</v>
      </c>
      <c r="G29" s="5"/>
      <c r="H29" s="5"/>
      <c r="I29" s="5"/>
      <c r="J29" s="13">
        <f t="shared" si="7"/>
        <v>0</v>
      </c>
      <c r="K29" s="2">
        <f t="shared" si="2"/>
        <v>0</v>
      </c>
      <c r="L29" s="14">
        <f t="shared" si="3"/>
        <v>0</v>
      </c>
      <c r="M29" s="16">
        <f t="shared" si="8"/>
        <v>0</v>
      </c>
      <c r="N29" s="16">
        <f t="shared" si="9"/>
        <v>0</v>
      </c>
      <c r="O29" s="2"/>
      <c r="P29" s="2"/>
      <c r="Q29" s="2"/>
      <c r="R29" s="2"/>
      <c r="S29" s="2"/>
    </row>
    <row r="30" spans="1:19" ht="20" customHeight="1" x14ac:dyDescent="0.3">
      <c r="A30" s="1">
        <v>9</v>
      </c>
      <c r="B30" s="1">
        <v>10</v>
      </c>
      <c r="C30" s="8" t="s">
        <v>125</v>
      </c>
      <c r="D30" s="8"/>
      <c r="E30" s="8" t="s">
        <v>62</v>
      </c>
      <c r="F30" s="8" t="s">
        <v>45</v>
      </c>
      <c r="G30" s="8">
        <v>4.8</v>
      </c>
      <c r="H30" s="8">
        <v>0.3</v>
      </c>
      <c r="I30" s="8"/>
      <c r="J30" s="13">
        <f t="shared" si="7"/>
        <v>9.75</v>
      </c>
      <c r="K30" s="2">
        <f t="shared" si="2"/>
        <v>2.5499999999999998</v>
      </c>
      <c r="L30" s="14">
        <f t="shared" si="3"/>
        <v>12.3</v>
      </c>
      <c r="M30" s="16">
        <f t="shared" si="8"/>
        <v>0</v>
      </c>
      <c r="N30" s="16">
        <f t="shared" si="9"/>
        <v>0</v>
      </c>
      <c r="O30" s="2"/>
      <c r="P30" s="2"/>
      <c r="Q30" s="2"/>
      <c r="R30" s="2"/>
      <c r="S30" s="2"/>
    </row>
    <row r="31" spans="1:19" ht="20" customHeight="1" x14ac:dyDescent="0.3">
      <c r="C31" s="8"/>
      <c r="D31" s="8"/>
      <c r="E31" s="8" t="s">
        <v>63</v>
      </c>
      <c r="F31" s="8" t="s">
        <v>45</v>
      </c>
      <c r="G31" s="8">
        <v>4.5</v>
      </c>
      <c r="H31" s="8">
        <v>0.4</v>
      </c>
      <c r="I31" s="8"/>
      <c r="J31" s="13">
        <f t="shared" si="7"/>
        <v>9.1999999999999993</v>
      </c>
      <c r="K31" s="2">
        <f t="shared" si="2"/>
        <v>2.4500000000000002</v>
      </c>
      <c r="L31" s="14">
        <f t="shared" si="3"/>
        <v>11.649999999999999</v>
      </c>
      <c r="M31" s="16">
        <f t="shared" si="8"/>
        <v>0</v>
      </c>
      <c r="N31" s="16">
        <f t="shared" si="9"/>
        <v>0</v>
      </c>
      <c r="O31" s="2"/>
      <c r="P31" s="2"/>
      <c r="Q31" s="2"/>
      <c r="R31" s="2"/>
      <c r="S31" s="2"/>
    </row>
    <row r="32" spans="1:19" ht="20" customHeight="1" x14ac:dyDescent="0.3">
      <c r="A32" s="1">
        <v>8</v>
      </c>
      <c r="B32" s="1">
        <v>12</v>
      </c>
      <c r="C32" s="5" t="s">
        <v>64</v>
      </c>
      <c r="D32" s="5" t="s">
        <v>65</v>
      </c>
      <c r="E32" s="5" t="s">
        <v>66</v>
      </c>
      <c r="F32" s="5" t="s">
        <v>45</v>
      </c>
      <c r="G32" s="5">
        <v>5</v>
      </c>
      <c r="H32" s="5">
        <v>1.5</v>
      </c>
      <c r="I32" s="5"/>
      <c r="J32" s="13">
        <f t="shared" si="7"/>
        <v>10.75</v>
      </c>
      <c r="K32" s="2">
        <f t="shared" si="2"/>
        <v>3.25</v>
      </c>
      <c r="L32" s="14">
        <f t="shared" si="3"/>
        <v>14</v>
      </c>
      <c r="M32" s="16">
        <f t="shared" si="8"/>
        <v>0</v>
      </c>
      <c r="N32" s="16">
        <f t="shared" si="9"/>
        <v>0</v>
      </c>
      <c r="O32" s="2">
        <v>3</v>
      </c>
      <c r="P32" s="2">
        <v>4</v>
      </c>
      <c r="Q32" s="2" t="s">
        <v>67</v>
      </c>
      <c r="R32" s="2"/>
      <c r="S32" s="2"/>
    </row>
    <row r="33" spans="1:19" ht="20" customHeight="1" x14ac:dyDescent="0.3">
      <c r="C33" s="5"/>
      <c r="D33" s="5" t="s">
        <v>131</v>
      </c>
      <c r="E33" s="5" t="s">
        <v>110</v>
      </c>
      <c r="F33" s="5" t="s">
        <v>45</v>
      </c>
      <c r="G33" s="5"/>
      <c r="H33" s="5"/>
      <c r="I33" s="5"/>
      <c r="J33" s="13">
        <f t="shared" si="7"/>
        <v>0</v>
      </c>
      <c r="K33" s="2">
        <f t="shared" si="2"/>
        <v>0</v>
      </c>
      <c r="L33" s="14">
        <f t="shared" si="3"/>
        <v>0</v>
      </c>
      <c r="M33" s="16">
        <f t="shared" si="8"/>
        <v>0</v>
      </c>
      <c r="N33" s="16">
        <f t="shared" si="9"/>
        <v>0</v>
      </c>
      <c r="O33" s="2"/>
      <c r="P33" s="2"/>
      <c r="Q33" s="2"/>
      <c r="R33" s="2"/>
      <c r="S33" s="2"/>
    </row>
    <row r="34" spans="1:19" ht="20" customHeight="1" x14ac:dyDescent="0.3">
      <c r="C34" s="5"/>
      <c r="D34" s="20" t="s">
        <v>132</v>
      </c>
      <c r="E34" s="5" t="s">
        <v>111</v>
      </c>
      <c r="F34" s="5" t="s">
        <v>45</v>
      </c>
      <c r="G34" s="5"/>
      <c r="H34" s="5"/>
      <c r="I34" s="5"/>
      <c r="J34" s="13">
        <f t="shared" si="7"/>
        <v>0</v>
      </c>
      <c r="K34" s="2">
        <f t="shared" si="2"/>
        <v>0</v>
      </c>
      <c r="L34" s="14">
        <f t="shared" si="3"/>
        <v>0</v>
      </c>
      <c r="M34" s="16">
        <f t="shared" si="8"/>
        <v>0</v>
      </c>
      <c r="N34" s="16">
        <f t="shared" si="9"/>
        <v>0</v>
      </c>
      <c r="O34" s="2"/>
      <c r="P34" s="2"/>
      <c r="Q34" s="2"/>
      <c r="R34" s="2"/>
      <c r="S34" s="2"/>
    </row>
    <row r="35" spans="1:19" ht="20" customHeight="1" x14ac:dyDescent="0.3">
      <c r="A35" s="1">
        <v>9</v>
      </c>
      <c r="B35" s="1">
        <v>12.5</v>
      </c>
      <c r="C35" s="8" t="s">
        <v>68</v>
      </c>
      <c r="D35" s="8" t="s">
        <v>69</v>
      </c>
      <c r="E35" s="8" t="s">
        <v>70</v>
      </c>
      <c r="F35" s="8" t="s">
        <v>45</v>
      </c>
      <c r="G35" s="8">
        <v>5.0999999999999996</v>
      </c>
      <c r="H35" s="8">
        <v>1.8</v>
      </c>
      <c r="I35" s="8"/>
      <c r="J35" s="13">
        <f t="shared" si="7"/>
        <v>11.1</v>
      </c>
      <c r="K35" s="2">
        <f t="shared" si="2"/>
        <v>3.4499999999999997</v>
      </c>
      <c r="L35" s="14">
        <f t="shared" si="3"/>
        <v>14.549999999999999</v>
      </c>
      <c r="M35" s="16">
        <f t="shared" si="8"/>
        <v>0</v>
      </c>
      <c r="N35" s="16">
        <f t="shared" si="9"/>
        <v>0</v>
      </c>
      <c r="O35" s="2">
        <v>3</v>
      </c>
      <c r="P35" s="2">
        <v>5</v>
      </c>
      <c r="Q35" s="2"/>
      <c r="R35" s="2"/>
      <c r="S35" s="2"/>
    </row>
    <row r="36" spans="1:19" ht="20" customHeight="1" x14ac:dyDescent="0.3">
      <c r="C36" s="8"/>
      <c r="D36" s="8" t="s">
        <v>106</v>
      </c>
      <c r="E36" s="8" t="s">
        <v>105</v>
      </c>
      <c r="F36" s="8" t="s">
        <v>107</v>
      </c>
      <c r="G36" s="8"/>
      <c r="H36" s="8"/>
      <c r="I36" s="8"/>
      <c r="J36" s="13">
        <f t="shared" si="7"/>
        <v>0</v>
      </c>
      <c r="K36" s="2">
        <f t="shared" si="2"/>
        <v>0</v>
      </c>
      <c r="L36" s="14">
        <f t="shared" si="3"/>
        <v>0</v>
      </c>
      <c r="M36" s="16">
        <f t="shared" si="8"/>
        <v>0</v>
      </c>
      <c r="N36" s="16">
        <f t="shared" si="9"/>
        <v>0</v>
      </c>
      <c r="O36" s="2"/>
      <c r="P36" s="2"/>
      <c r="Q36" s="2"/>
      <c r="R36" s="2"/>
      <c r="S36" s="2"/>
    </row>
    <row r="37" spans="1:19" ht="20" customHeight="1" x14ac:dyDescent="0.3">
      <c r="C37" s="8"/>
      <c r="D37" s="8" t="s">
        <v>133</v>
      </c>
      <c r="E37" s="8" t="s">
        <v>112</v>
      </c>
      <c r="F37" s="8" t="s">
        <v>45</v>
      </c>
      <c r="G37" s="8"/>
      <c r="H37" s="8"/>
      <c r="I37" s="8"/>
      <c r="J37" s="13">
        <f t="shared" si="7"/>
        <v>0</v>
      </c>
      <c r="K37" s="2">
        <f t="shared" si="2"/>
        <v>0</v>
      </c>
      <c r="L37" s="14">
        <f t="shared" si="3"/>
        <v>0</v>
      </c>
      <c r="M37" s="16">
        <f t="shared" si="8"/>
        <v>0</v>
      </c>
      <c r="N37" s="16">
        <f t="shared" si="9"/>
        <v>0</v>
      </c>
      <c r="O37" s="2"/>
      <c r="P37" s="2"/>
      <c r="Q37" s="2"/>
      <c r="R37" s="2"/>
      <c r="S37" s="2"/>
    </row>
    <row r="38" spans="1:19" ht="20" customHeight="1" x14ac:dyDescent="0.3">
      <c r="A38" s="1">
        <v>10</v>
      </c>
      <c r="B38" s="1">
        <v>13</v>
      </c>
      <c r="C38" s="20" t="s">
        <v>126</v>
      </c>
      <c r="D38" s="5" t="s">
        <v>71</v>
      </c>
      <c r="E38" s="5" t="s">
        <v>72</v>
      </c>
      <c r="F38" s="5" t="s">
        <v>73</v>
      </c>
      <c r="G38" s="5">
        <v>5</v>
      </c>
      <c r="H38" s="5">
        <v>0.2</v>
      </c>
      <c r="I38" s="5"/>
      <c r="J38" s="13">
        <f t="shared" si="7"/>
        <v>10.1</v>
      </c>
      <c r="K38" s="2">
        <f t="shared" si="2"/>
        <v>2.6</v>
      </c>
      <c r="L38" s="14">
        <f t="shared" si="3"/>
        <v>12.7</v>
      </c>
      <c r="M38" s="16">
        <f t="shared" si="8"/>
        <v>0</v>
      </c>
      <c r="N38" s="16">
        <f t="shared" si="9"/>
        <v>0</v>
      </c>
      <c r="O38" s="2">
        <v>3</v>
      </c>
      <c r="P38" s="2">
        <v>4</v>
      </c>
      <c r="Q38" s="2"/>
      <c r="R38" s="2"/>
      <c r="S38" s="2"/>
    </row>
    <row r="39" spans="1:19" ht="20" customHeight="1" x14ac:dyDescent="0.3">
      <c r="C39" s="5"/>
      <c r="D39" s="5" t="s">
        <v>134</v>
      </c>
      <c r="E39" s="20" t="s">
        <v>113</v>
      </c>
      <c r="F39" s="5" t="s">
        <v>45</v>
      </c>
      <c r="G39" s="5"/>
      <c r="H39" s="5"/>
      <c r="I39" s="5"/>
      <c r="J39" s="13">
        <f t="shared" si="7"/>
        <v>0</v>
      </c>
      <c r="K39" s="2">
        <f t="shared" si="2"/>
        <v>0</v>
      </c>
      <c r="L39" s="14">
        <f t="shared" si="3"/>
        <v>0</v>
      </c>
      <c r="M39" s="16">
        <f t="shared" si="8"/>
        <v>0</v>
      </c>
      <c r="N39" s="16">
        <f t="shared" si="9"/>
        <v>0</v>
      </c>
      <c r="O39" s="2"/>
      <c r="P39" s="2"/>
      <c r="Q39" s="2"/>
      <c r="R39" s="2"/>
      <c r="S39" s="2"/>
    </row>
    <row r="40" spans="1:19" ht="20" customHeight="1" x14ac:dyDescent="0.3">
      <c r="C40" s="5"/>
      <c r="D40" s="20" t="s">
        <v>157</v>
      </c>
      <c r="E40" s="20" t="s">
        <v>156</v>
      </c>
      <c r="F40" s="5"/>
      <c r="G40" s="5"/>
      <c r="H40" s="5"/>
      <c r="I40" s="5"/>
      <c r="J40" s="13"/>
      <c r="K40" s="2"/>
      <c r="L40" s="14"/>
      <c r="M40" s="16"/>
      <c r="N40" s="16"/>
      <c r="O40" s="2"/>
      <c r="P40" s="2"/>
      <c r="Q40" s="2"/>
      <c r="R40" s="2"/>
      <c r="S40" s="2"/>
    </row>
    <row r="41" spans="1:19" ht="20" customHeight="1" x14ac:dyDescent="0.3">
      <c r="A41" s="1">
        <v>11</v>
      </c>
      <c r="B41" s="1">
        <v>13.5</v>
      </c>
      <c r="C41" s="8" t="s">
        <v>74</v>
      </c>
      <c r="D41" s="8" t="s">
        <v>135</v>
      </c>
      <c r="E41" s="8" t="s">
        <v>115</v>
      </c>
      <c r="F41" s="8" t="s">
        <v>45</v>
      </c>
      <c r="G41" s="8"/>
      <c r="H41" s="8"/>
      <c r="I41" s="8"/>
      <c r="J41" s="13">
        <f t="shared" si="7"/>
        <v>0</v>
      </c>
      <c r="K41" s="2">
        <f t="shared" si="2"/>
        <v>0</v>
      </c>
      <c r="L41" s="14">
        <f t="shared" si="3"/>
        <v>0</v>
      </c>
      <c r="M41" s="16">
        <f t="shared" si="8"/>
        <v>0</v>
      </c>
      <c r="N41" s="16">
        <f t="shared" si="9"/>
        <v>0</v>
      </c>
      <c r="O41" s="2">
        <v>3</v>
      </c>
      <c r="P41" s="2">
        <v>3</v>
      </c>
      <c r="Q41" s="2"/>
      <c r="R41" s="2"/>
      <c r="S41" s="2"/>
    </row>
    <row r="42" spans="1:19" ht="20" customHeight="1" x14ac:dyDescent="0.3">
      <c r="C42" s="8"/>
      <c r="D42" s="8" t="s">
        <v>136</v>
      </c>
      <c r="E42" s="18" t="s">
        <v>114</v>
      </c>
      <c r="F42" s="18" t="s">
        <v>107</v>
      </c>
      <c r="G42" s="8"/>
      <c r="H42" s="8"/>
      <c r="I42" s="8"/>
      <c r="J42" s="13">
        <f t="shared" si="7"/>
        <v>0</v>
      </c>
      <c r="K42" s="2">
        <f t="shared" si="2"/>
        <v>0</v>
      </c>
      <c r="L42" s="14">
        <f t="shared" si="3"/>
        <v>0</v>
      </c>
      <c r="M42" s="16">
        <f t="shared" si="8"/>
        <v>0</v>
      </c>
      <c r="N42" s="16">
        <f t="shared" si="9"/>
        <v>0</v>
      </c>
      <c r="O42" s="2"/>
      <c r="P42" s="2"/>
      <c r="Q42" s="2"/>
      <c r="R42" s="2"/>
      <c r="S42" s="2"/>
    </row>
    <row r="43" spans="1:19" ht="20" customHeight="1" x14ac:dyDescent="0.3">
      <c r="A43" s="1">
        <v>13</v>
      </c>
      <c r="B43" s="1">
        <v>14</v>
      </c>
      <c r="C43" s="5" t="s">
        <v>127</v>
      </c>
      <c r="D43" s="5" t="s">
        <v>75</v>
      </c>
      <c r="E43" s="5" t="s">
        <v>76</v>
      </c>
      <c r="F43" s="5" t="s">
        <v>45</v>
      </c>
      <c r="G43" s="5">
        <v>5.3</v>
      </c>
      <c r="H43" s="5">
        <v>0.3</v>
      </c>
      <c r="I43" s="5"/>
      <c r="J43" s="13">
        <f t="shared" si="7"/>
        <v>10.75</v>
      </c>
      <c r="K43" s="2">
        <f t="shared" si="2"/>
        <v>2.8</v>
      </c>
      <c r="L43" s="14">
        <f t="shared" si="3"/>
        <v>13.55</v>
      </c>
      <c r="M43" s="16">
        <f t="shared" si="8"/>
        <v>0</v>
      </c>
      <c r="N43" s="16">
        <f t="shared" si="9"/>
        <v>0</v>
      </c>
      <c r="O43" s="2"/>
      <c r="P43" s="2"/>
      <c r="Q43" s="2"/>
      <c r="R43" s="2"/>
      <c r="S43" s="2"/>
    </row>
    <row r="44" spans="1:19" ht="20" customHeight="1" x14ac:dyDescent="0.3">
      <c r="C44" s="5"/>
      <c r="D44" s="5" t="s">
        <v>138</v>
      </c>
      <c r="E44" s="5" t="s">
        <v>119</v>
      </c>
      <c r="F44" s="5" t="s">
        <v>45</v>
      </c>
      <c r="G44" s="5"/>
      <c r="H44" s="5"/>
      <c r="I44" s="5"/>
      <c r="J44" s="13">
        <f t="shared" si="7"/>
        <v>0</v>
      </c>
      <c r="K44" s="2">
        <f t="shared" si="2"/>
        <v>0</v>
      </c>
      <c r="L44" s="14">
        <f t="shared" si="3"/>
        <v>0</v>
      </c>
      <c r="M44" s="16">
        <f t="shared" si="8"/>
        <v>0</v>
      </c>
      <c r="N44" s="16">
        <f t="shared" si="9"/>
        <v>0</v>
      </c>
      <c r="O44" s="2"/>
      <c r="P44" s="2"/>
      <c r="Q44" s="2"/>
      <c r="R44" s="2"/>
      <c r="S44" s="2"/>
    </row>
    <row r="45" spans="1:19" ht="20" customHeight="1" x14ac:dyDescent="0.3">
      <c r="C45" s="5"/>
      <c r="D45" s="20" t="s">
        <v>152</v>
      </c>
      <c r="E45" s="20" t="s">
        <v>153</v>
      </c>
      <c r="F45" s="5" t="s">
        <v>45</v>
      </c>
      <c r="G45" s="5"/>
      <c r="H45" s="5"/>
      <c r="I45" s="5"/>
      <c r="J45" s="13">
        <f t="shared" si="7"/>
        <v>0</v>
      </c>
      <c r="K45" s="2">
        <f t="shared" si="2"/>
        <v>0</v>
      </c>
      <c r="L45" s="14">
        <f t="shared" si="3"/>
        <v>0</v>
      </c>
      <c r="M45" s="16">
        <f t="shared" si="8"/>
        <v>0</v>
      </c>
      <c r="N45" s="16">
        <f t="shared" si="9"/>
        <v>0</v>
      </c>
      <c r="O45" s="2"/>
      <c r="P45" s="2"/>
      <c r="Q45" s="2"/>
      <c r="R45" s="2"/>
      <c r="S45" s="2"/>
    </row>
    <row r="46" spans="1:19" ht="20" customHeight="1" x14ac:dyDescent="0.3">
      <c r="A46" s="1">
        <v>14</v>
      </c>
      <c r="B46" s="1">
        <v>15</v>
      </c>
      <c r="C46" s="8" t="s">
        <v>128</v>
      </c>
      <c r="D46" s="8" t="s">
        <v>139</v>
      </c>
      <c r="E46" s="8" t="s">
        <v>116</v>
      </c>
      <c r="F46" s="8" t="s">
        <v>45</v>
      </c>
      <c r="G46" s="8"/>
      <c r="H46" s="8"/>
      <c r="I46" s="8"/>
      <c r="J46" s="13">
        <f t="shared" si="7"/>
        <v>0</v>
      </c>
      <c r="K46" s="2">
        <f t="shared" si="2"/>
        <v>0</v>
      </c>
      <c r="L46" s="14">
        <f t="shared" si="3"/>
        <v>0</v>
      </c>
      <c r="M46" s="16">
        <f t="shared" si="8"/>
        <v>0</v>
      </c>
      <c r="N46" s="16">
        <f t="shared" si="9"/>
        <v>0</v>
      </c>
      <c r="O46" s="2">
        <v>3</v>
      </c>
      <c r="P46" s="2">
        <v>3</v>
      </c>
      <c r="Q46" s="2"/>
      <c r="R46" s="2"/>
      <c r="S46" s="2"/>
    </row>
    <row r="47" spans="1:19" ht="20" customHeight="1" x14ac:dyDescent="0.3">
      <c r="C47" s="8"/>
      <c r="D47" s="8" t="s">
        <v>140</v>
      </c>
      <c r="E47" s="8" t="s">
        <v>117</v>
      </c>
      <c r="F47" s="18" t="s">
        <v>148</v>
      </c>
      <c r="G47" s="8"/>
      <c r="H47" s="8"/>
      <c r="I47" s="8"/>
      <c r="J47" s="13">
        <f t="shared" si="7"/>
        <v>0</v>
      </c>
      <c r="K47" s="2">
        <f t="shared" si="2"/>
        <v>0</v>
      </c>
      <c r="L47" s="14">
        <f t="shared" si="3"/>
        <v>0</v>
      </c>
      <c r="M47" s="16">
        <f t="shared" si="8"/>
        <v>0</v>
      </c>
      <c r="N47" s="16">
        <f t="shared" si="9"/>
        <v>0</v>
      </c>
      <c r="O47" s="2"/>
      <c r="P47" s="2"/>
      <c r="Q47" s="2"/>
      <c r="R47" s="2"/>
      <c r="S47" s="2"/>
    </row>
    <row r="48" spans="1:19" ht="20" customHeight="1" x14ac:dyDescent="0.3">
      <c r="A48" s="1">
        <v>16</v>
      </c>
      <c r="B48" s="1">
        <v>16</v>
      </c>
      <c r="C48" s="5" t="s">
        <v>123</v>
      </c>
      <c r="D48" s="5" t="s">
        <v>141</v>
      </c>
      <c r="E48" s="5" t="s">
        <v>118</v>
      </c>
      <c r="F48" s="5" t="s">
        <v>45</v>
      </c>
      <c r="G48" s="5"/>
      <c r="H48" s="5"/>
      <c r="I48" s="5"/>
      <c r="J48" s="13">
        <f t="shared" si="7"/>
        <v>0</v>
      </c>
      <c r="K48" s="2">
        <f t="shared" si="2"/>
        <v>0</v>
      </c>
      <c r="L48" s="14">
        <f t="shared" si="3"/>
        <v>0</v>
      </c>
      <c r="M48" s="16">
        <f t="shared" si="8"/>
        <v>0</v>
      </c>
      <c r="N48" s="16">
        <f t="shared" si="9"/>
        <v>0</v>
      </c>
      <c r="O48" s="2"/>
      <c r="P48" s="2"/>
      <c r="Q48" s="2"/>
      <c r="R48" s="2"/>
      <c r="S48" s="2"/>
    </row>
    <row r="49" spans="1:19" ht="20" customHeight="1" x14ac:dyDescent="0.3">
      <c r="C49" s="5"/>
      <c r="D49" s="5" t="s">
        <v>77</v>
      </c>
      <c r="E49" s="5" t="s">
        <v>78</v>
      </c>
      <c r="F49" s="5" t="s">
        <v>45</v>
      </c>
      <c r="G49" s="5">
        <v>5.5</v>
      </c>
      <c r="H49" s="5">
        <v>1.3</v>
      </c>
      <c r="I49" s="5"/>
      <c r="J49" s="13">
        <f t="shared" si="7"/>
        <v>11.65</v>
      </c>
      <c r="K49" s="2">
        <f t="shared" si="2"/>
        <v>3.4</v>
      </c>
      <c r="L49" s="14">
        <f t="shared" si="3"/>
        <v>15.05</v>
      </c>
      <c r="M49" s="16">
        <f t="shared" si="8"/>
        <v>0</v>
      </c>
      <c r="N49" s="16">
        <f t="shared" si="9"/>
        <v>0</v>
      </c>
      <c r="O49" s="2"/>
      <c r="P49" s="2"/>
      <c r="Q49" s="2"/>
      <c r="R49" s="2"/>
      <c r="S49" s="2"/>
    </row>
    <row r="50" spans="1:19" ht="20" customHeight="1" x14ac:dyDescent="0.3">
      <c r="C50" s="5"/>
      <c r="D50" s="5" t="s">
        <v>79</v>
      </c>
      <c r="E50" s="5" t="s">
        <v>80</v>
      </c>
      <c r="F50" s="5" t="s">
        <v>45</v>
      </c>
      <c r="G50" s="5">
        <v>5.9</v>
      </c>
      <c r="H50" s="5">
        <v>0.2</v>
      </c>
      <c r="I50" s="5"/>
      <c r="J50" s="13">
        <f t="shared" si="7"/>
        <v>11.9</v>
      </c>
      <c r="K50" s="2">
        <f t="shared" si="2"/>
        <v>3.0500000000000003</v>
      </c>
      <c r="L50" s="14">
        <f t="shared" si="3"/>
        <v>14.950000000000001</v>
      </c>
      <c r="M50" s="16">
        <f t="shared" si="8"/>
        <v>0</v>
      </c>
      <c r="N50" s="16">
        <f t="shared" si="9"/>
        <v>0</v>
      </c>
      <c r="O50" s="2">
        <v>4</v>
      </c>
      <c r="P50" s="2">
        <v>4</v>
      </c>
      <c r="Q50" s="2"/>
      <c r="R50" s="2"/>
      <c r="S50" s="2"/>
    </row>
    <row r="51" spans="1:19" ht="20" customHeight="1" x14ac:dyDescent="0.3">
      <c r="C51" s="5"/>
      <c r="D51" s="5" t="s">
        <v>142</v>
      </c>
      <c r="E51" s="20" t="s">
        <v>137</v>
      </c>
      <c r="F51" s="5" t="s">
        <v>45</v>
      </c>
      <c r="G51" s="5"/>
      <c r="H51" s="5"/>
      <c r="I51" s="5"/>
      <c r="J51" s="13">
        <f t="shared" si="7"/>
        <v>0</v>
      </c>
      <c r="K51" s="2">
        <f t="shared" si="2"/>
        <v>0</v>
      </c>
      <c r="L51" s="14">
        <f t="shared" si="3"/>
        <v>0</v>
      </c>
      <c r="M51" s="16">
        <f t="shared" si="8"/>
        <v>0</v>
      </c>
      <c r="N51" s="16">
        <f t="shared" si="9"/>
        <v>0</v>
      </c>
      <c r="O51" s="2"/>
      <c r="P51" s="2"/>
      <c r="Q51" s="2"/>
      <c r="R51" s="2"/>
      <c r="S51" s="2"/>
    </row>
    <row r="52" spans="1:19" ht="20" customHeight="1" x14ac:dyDescent="0.3">
      <c r="A52" s="1">
        <v>19</v>
      </c>
      <c r="C52" s="18" t="s">
        <v>129</v>
      </c>
      <c r="D52" s="8" t="s">
        <v>143</v>
      </c>
      <c r="E52" s="18" t="s">
        <v>120</v>
      </c>
      <c r="F52" s="8" t="s">
        <v>45</v>
      </c>
      <c r="G52" s="8"/>
      <c r="H52" s="8"/>
      <c r="I52" s="8"/>
      <c r="J52" s="13">
        <f t="shared" si="7"/>
        <v>0</v>
      </c>
      <c r="K52" s="2">
        <f t="shared" si="2"/>
        <v>0</v>
      </c>
      <c r="L52" s="14">
        <f t="shared" si="3"/>
        <v>0</v>
      </c>
      <c r="M52" s="16">
        <f t="shared" si="8"/>
        <v>0</v>
      </c>
      <c r="N52" s="16">
        <f t="shared" si="9"/>
        <v>0</v>
      </c>
      <c r="O52" s="2"/>
      <c r="P52" s="2"/>
      <c r="Q52" s="2"/>
      <c r="R52" s="2"/>
      <c r="S52" s="2"/>
    </row>
    <row r="53" spans="1:19" ht="20" customHeight="1" x14ac:dyDescent="0.3">
      <c r="C53" s="8"/>
      <c r="D53" s="8" t="s">
        <v>144</v>
      </c>
      <c r="E53" s="18" t="s">
        <v>121</v>
      </c>
      <c r="F53" s="8" t="s">
        <v>45</v>
      </c>
      <c r="G53" s="8"/>
      <c r="H53" s="8"/>
      <c r="I53" s="8"/>
      <c r="J53" s="13">
        <f t="shared" si="7"/>
        <v>0</v>
      </c>
      <c r="K53" s="2">
        <f t="shared" si="2"/>
        <v>0</v>
      </c>
      <c r="L53" s="14">
        <f t="shared" si="3"/>
        <v>0</v>
      </c>
      <c r="M53" s="16">
        <f t="shared" si="8"/>
        <v>0</v>
      </c>
      <c r="N53" s="16">
        <f t="shared" si="9"/>
        <v>0</v>
      </c>
      <c r="O53" s="2"/>
      <c r="P53" s="2"/>
      <c r="Q53" s="2"/>
      <c r="R53" s="2"/>
      <c r="S53" s="2"/>
    </row>
    <row r="54" spans="1:19" ht="20" customHeight="1" x14ac:dyDescent="0.3">
      <c r="C54" s="8"/>
      <c r="D54" s="8" t="s">
        <v>145</v>
      </c>
      <c r="E54" s="18" t="s">
        <v>122</v>
      </c>
      <c r="F54" s="8" t="s">
        <v>45</v>
      </c>
      <c r="G54" s="8"/>
      <c r="H54" s="8"/>
      <c r="I54" s="8"/>
      <c r="J54" s="13">
        <f t="shared" si="7"/>
        <v>0</v>
      </c>
      <c r="K54" s="2">
        <f t="shared" si="2"/>
        <v>0</v>
      </c>
      <c r="L54" s="14">
        <f t="shared" si="3"/>
        <v>0</v>
      </c>
      <c r="M54" s="16">
        <f t="shared" si="8"/>
        <v>0</v>
      </c>
      <c r="N54" s="16">
        <f t="shared" si="9"/>
        <v>0</v>
      </c>
      <c r="O54" s="2"/>
      <c r="P54" s="2"/>
      <c r="Q54" s="2"/>
      <c r="R54" s="2"/>
      <c r="S54" s="2"/>
    </row>
    <row r="55" spans="1:19" ht="20" customHeight="1" x14ac:dyDescent="0.3">
      <c r="C55" s="8"/>
      <c r="D55" s="8" t="s">
        <v>83</v>
      </c>
      <c r="E55" s="8" t="s">
        <v>84</v>
      </c>
      <c r="F55" s="8" t="s">
        <v>45</v>
      </c>
      <c r="G55" s="8">
        <v>6.5</v>
      </c>
      <c r="H55" s="8">
        <v>5</v>
      </c>
      <c r="I55" s="8"/>
      <c r="J55" s="13">
        <f>(G55*$I$2)+(H55*$I$3)</f>
        <v>15.5</v>
      </c>
      <c r="K55" s="2">
        <f>(G55*$I$5)+(H55*$I$6)+(I55*$I$7)</f>
        <v>5.75</v>
      </c>
      <c r="L55" s="14">
        <f t="shared" ref="L55:L103" si="10">J55+K55</f>
        <v>21.25</v>
      </c>
      <c r="M55" s="16">
        <f t="shared" si="5"/>
        <v>0</v>
      </c>
      <c r="N55" s="16">
        <f t="shared" si="6"/>
        <v>0</v>
      </c>
      <c r="O55" s="2">
        <v>5</v>
      </c>
      <c r="P55" s="2">
        <v>4</v>
      </c>
      <c r="Q55" s="2" t="s">
        <v>85</v>
      </c>
      <c r="R55" s="2" t="s">
        <v>86</v>
      </c>
      <c r="S55" s="2"/>
    </row>
    <row r="56" spans="1:19" ht="20" customHeight="1" x14ac:dyDescent="0.3">
      <c r="C56" s="5" t="s">
        <v>130</v>
      </c>
      <c r="D56" s="5" t="s">
        <v>81</v>
      </c>
      <c r="E56" s="5" t="s">
        <v>82</v>
      </c>
      <c r="F56" s="5" t="s">
        <v>73</v>
      </c>
      <c r="G56" s="5"/>
      <c r="H56" s="5"/>
      <c r="I56" s="5"/>
      <c r="J56" s="13"/>
      <c r="K56" s="2"/>
      <c r="L56" s="14"/>
      <c r="M56" s="16"/>
      <c r="N56" s="16"/>
      <c r="O56" s="2"/>
      <c r="P56" s="2"/>
      <c r="Q56" s="2"/>
      <c r="R56" s="2"/>
      <c r="S56" s="2"/>
    </row>
    <row r="57" spans="1:19" ht="20" customHeight="1" x14ac:dyDescent="0.3">
      <c r="C57" s="5"/>
      <c r="D57" s="5" t="s">
        <v>83</v>
      </c>
      <c r="E57" s="5" t="s">
        <v>84</v>
      </c>
      <c r="F57" s="5" t="s">
        <v>45</v>
      </c>
      <c r="G57" s="5"/>
      <c r="H57" s="5"/>
      <c r="I57" s="5"/>
      <c r="J57" s="13"/>
      <c r="K57" s="2"/>
      <c r="L57" s="14"/>
      <c r="M57" s="16"/>
      <c r="N57" s="16"/>
      <c r="O57" s="2"/>
      <c r="P57" s="2"/>
      <c r="Q57" s="2"/>
      <c r="R57" s="2"/>
      <c r="S57" s="2"/>
    </row>
    <row r="58" spans="1:19" ht="20" customHeight="1" x14ac:dyDescent="0.3">
      <c r="A58" s="1">
        <v>22</v>
      </c>
      <c r="C58" s="8" t="s">
        <v>155</v>
      </c>
      <c r="D58" s="8" t="s">
        <v>146</v>
      </c>
      <c r="E58" s="8" t="s">
        <v>124</v>
      </c>
      <c r="F58" s="8" t="s">
        <v>45</v>
      </c>
      <c r="G58" s="8"/>
      <c r="H58" s="8"/>
      <c r="I58" s="8"/>
      <c r="J58" s="13">
        <f t="shared" ref="J58:J82" si="11">(G58*$I$2)+(H58*$I$3)</f>
        <v>0</v>
      </c>
      <c r="K58" s="2">
        <f t="shared" ref="K58:K82" si="12">(G58*$I$5)+(H58*$I$6)+(I58*$I$7)</f>
        <v>0</v>
      </c>
      <c r="L58" s="14">
        <f t="shared" ref="L58:L82" si="13">J58+K58</f>
        <v>0</v>
      </c>
      <c r="M58" s="16">
        <f t="shared" ref="M58:M82" si="14">I58*$M$2</f>
        <v>0</v>
      </c>
      <c r="N58" s="16">
        <f t="shared" ref="N58:N82" si="15">I58*$M$3</f>
        <v>0</v>
      </c>
      <c r="O58" s="2"/>
      <c r="P58" s="2"/>
      <c r="Q58" s="2"/>
      <c r="R58" s="2"/>
      <c r="S58" s="2"/>
    </row>
    <row r="59" spans="1:19" ht="20" customHeight="1" x14ac:dyDescent="0.3">
      <c r="A59" s="1">
        <v>14</v>
      </c>
      <c r="C59" s="5" t="s">
        <v>149</v>
      </c>
      <c r="D59" s="5"/>
      <c r="E59" s="5"/>
      <c r="F59" s="5"/>
      <c r="G59" s="5"/>
      <c r="H59" s="5"/>
      <c r="I59" s="5"/>
      <c r="J59" s="13">
        <f t="shared" si="11"/>
        <v>0</v>
      </c>
      <c r="K59" s="2">
        <f t="shared" si="12"/>
        <v>0</v>
      </c>
      <c r="L59" s="14">
        <f t="shared" si="13"/>
        <v>0</v>
      </c>
      <c r="M59" s="16">
        <f t="shared" si="14"/>
        <v>0</v>
      </c>
      <c r="N59" s="16">
        <f t="shared" si="15"/>
        <v>0</v>
      </c>
      <c r="O59" s="2"/>
      <c r="P59" s="2"/>
      <c r="Q59" s="2"/>
      <c r="R59" s="2"/>
      <c r="S59" s="2"/>
    </row>
    <row r="60" spans="1:19" ht="20" customHeight="1" x14ac:dyDescent="0.3">
      <c r="C60" s="5"/>
      <c r="D60" s="5"/>
      <c r="E60" s="5"/>
      <c r="F60" s="5"/>
      <c r="G60" s="5"/>
      <c r="H60" s="5"/>
      <c r="I60" s="5"/>
      <c r="J60" s="13">
        <f t="shared" si="11"/>
        <v>0</v>
      </c>
      <c r="K60" s="2">
        <f t="shared" si="12"/>
        <v>0</v>
      </c>
      <c r="L60" s="14">
        <f t="shared" si="13"/>
        <v>0</v>
      </c>
      <c r="M60" s="16">
        <f t="shared" si="14"/>
        <v>0</v>
      </c>
      <c r="N60" s="16">
        <f t="shared" si="15"/>
        <v>0</v>
      </c>
      <c r="O60" s="2"/>
      <c r="P60" s="2"/>
      <c r="Q60" s="2"/>
      <c r="R60" s="2"/>
      <c r="S60" s="2"/>
    </row>
    <row r="61" spans="1:19" ht="20" customHeight="1" x14ac:dyDescent="0.3">
      <c r="C61" s="5"/>
      <c r="D61" s="5"/>
      <c r="E61" s="5"/>
      <c r="F61" s="5"/>
      <c r="G61" s="5"/>
      <c r="H61" s="5"/>
      <c r="I61" s="5"/>
      <c r="J61" s="13">
        <f t="shared" si="11"/>
        <v>0</v>
      </c>
      <c r="K61" s="2">
        <f t="shared" si="12"/>
        <v>0</v>
      </c>
      <c r="L61" s="14">
        <f t="shared" si="13"/>
        <v>0</v>
      </c>
      <c r="M61" s="16">
        <f t="shared" si="14"/>
        <v>0</v>
      </c>
      <c r="N61" s="16">
        <f t="shared" si="15"/>
        <v>0</v>
      </c>
      <c r="O61" s="2"/>
      <c r="P61" s="2"/>
      <c r="Q61" s="2"/>
      <c r="R61" s="2"/>
      <c r="S61" s="2"/>
    </row>
    <row r="62" spans="1:19" ht="20" customHeight="1" x14ac:dyDescent="0.3">
      <c r="C62" s="18" t="s">
        <v>150</v>
      </c>
      <c r="D62" s="8"/>
      <c r="E62" s="8"/>
      <c r="F62" s="8"/>
      <c r="G62" s="8"/>
      <c r="H62" s="8"/>
      <c r="I62" s="8"/>
      <c r="J62" s="13">
        <f t="shared" si="11"/>
        <v>0</v>
      </c>
      <c r="K62" s="2">
        <f t="shared" si="12"/>
        <v>0</v>
      </c>
      <c r="L62" s="14">
        <f t="shared" si="13"/>
        <v>0</v>
      </c>
      <c r="M62" s="16">
        <f t="shared" si="14"/>
        <v>0</v>
      </c>
      <c r="N62" s="16">
        <f t="shared" si="15"/>
        <v>0</v>
      </c>
      <c r="O62" s="2"/>
      <c r="P62" s="2"/>
      <c r="Q62" s="2"/>
      <c r="R62" s="2"/>
      <c r="S62" s="2"/>
    </row>
    <row r="63" spans="1:19" ht="20" customHeight="1" x14ac:dyDescent="0.3">
      <c r="A63" s="15"/>
      <c r="C63" s="8"/>
      <c r="D63" s="8"/>
      <c r="E63" s="8"/>
      <c r="F63" s="8"/>
      <c r="G63" s="8"/>
      <c r="H63" s="8"/>
      <c r="I63" s="8"/>
      <c r="J63" s="13">
        <f t="shared" si="11"/>
        <v>0</v>
      </c>
      <c r="K63" s="2">
        <f t="shared" si="12"/>
        <v>0</v>
      </c>
      <c r="L63" s="14">
        <f t="shared" si="13"/>
        <v>0</v>
      </c>
      <c r="M63" s="16">
        <f t="shared" si="14"/>
        <v>0</v>
      </c>
      <c r="N63" s="16">
        <f t="shared" si="15"/>
        <v>0</v>
      </c>
      <c r="O63" s="2"/>
      <c r="P63" s="2"/>
      <c r="Q63" s="2"/>
      <c r="R63" s="2"/>
      <c r="S63" s="2"/>
    </row>
    <row r="64" spans="1:19" ht="20" customHeight="1" x14ac:dyDescent="0.3">
      <c r="C64" s="18" t="s">
        <v>151</v>
      </c>
      <c r="D64" s="8"/>
      <c r="E64" s="8"/>
      <c r="F64" s="8"/>
      <c r="G64" s="8"/>
      <c r="H64" s="8"/>
      <c r="I64" s="8"/>
      <c r="J64" s="13">
        <f t="shared" si="11"/>
        <v>0</v>
      </c>
      <c r="K64" s="2">
        <f t="shared" si="12"/>
        <v>0</v>
      </c>
      <c r="L64" s="14">
        <f t="shared" si="13"/>
        <v>0</v>
      </c>
      <c r="M64" s="16">
        <f t="shared" si="14"/>
        <v>0</v>
      </c>
      <c r="N64" s="16">
        <f t="shared" si="15"/>
        <v>0</v>
      </c>
      <c r="O64" s="2"/>
      <c r="P64" s="2"/>
      <c r="Q64" s="2"/>
      <c r="R64" s="2"/>
      <c r="S64" s="2"/>
    </row>
    <row r="65" spans="3:19" ht="20" customHeight="1" x14ac:dyDescent="0.3">
      <c r="C65" s="8"/>
      <c r="D65" s="8"/>
      <c r="E65" s="8"/>
      <c r="F65" s="8"/>
      <c r="G65" s="8"/>
      <c r="H65" s="8"/>
      <c r="I65" s="8"/>
      <c r="J65" s="13">
        <f t="shared" si="11"/>
        <v>0</v>
      </c>
      <c r="K65" s="2">
        <f t="shared" si="12"/>
        <v>0</v>
      </c>
      <c r="L65" s="14">
        <f t="shared" si="13"/>
        <v>0</v>
      </c>
      <c r="M65" s="16">
        <f t="shared" si="14"/>
        <v>0</v>
      </c>
      <c r="N65" s="16">
        <f t="shared" si="15"/>
        <v>0</v>
      </c>
      <c r="O65" s="2"/>
      <c r="P65" s="2"/>
      <c r="Q65" s="2"/>
      <c r="R65" s="2"/>
      <c r="S65" s="2"/>
    </row>
    <row r="66" spans="3:19" ht="20" customHeight="1" x14ac:dyDescent="0.3">
      <c r="C66" s="5" t="s">
        <v>154</v>
      </c>
      <c r="D66" s="5"/>
      <c r="E66" s="5"/>
      <c r="F66" s="5"/>
      <c r="G66" s="5"/>
      <c r="H66" s="5"/>
      <c r="I66" s="5"/>
      <c r="J66" s="13">
        <f t="shared" si="11"/>
        <v>0</v>
      </c>
      <c r="K66" s="2">
        <f t="shared" si="12"/>
        <v>0</v>
      </c>
      <c r="L66" s="14">
        <f t="shared" si="13"/>
        <v>0</v>
      </c>
      <c r="M66" s="16">
        <f t="shared" si="14"/>
        <v>0</v>
      </c>
      <c r="N66" s="16">
        <f t="shared" si="15"/>
        <v>0</v>
      </c>
      <c r="O66" s="2"/>
      <c r="P66" s="2"/>
      <c r="Q66" s="2"/>
      <c r="R66" s="2"/>
      <c r="S66" s="2"/>
    </row>
    <row r="67" spans="3:19" ht="20" customHeight="1" x14ac:dyDescent="0.3">
      <c r="C67" s="2"/>
      <c r="D67" s="2"/>
      <c r="E67" s="2"/>
      <c r="F67" s="2"/>
      <c r="G67" s="2"/>
      <c r="H67" s="2"/>
      <c r="I67" s="2"/>
      <c r="J67" s="13">
        <f t="shared" si="11"/>
        <v>0</v>
      </c>
      <c r="K67" s="2">
        <f t="shared" si="12"/>
        <v>0</v>
      </c>
      <c r="L67" s="14">
        <f t="shared" si="13"/>
        <v>0</v>
      </c>
      <c r="M67" s="16">
        <f t="shared" si="14"/>
        <v>0</v>
      </c>
      <c r="N67" s="16">
        <f t="shared" si="15"/>
        <v>0</v>
      </c>
      <c r="O67" s="2"/>
      <c r="P67" s="2"/>
      <c r="Q67" s="2"/>
      <c r="R67" s="2"/>
      <c r="S67" s="2"/>
    </row>
    <row r="68" spans="3:19" ht="20" customHeight="1" x14ac:dyDescent="0.3">
      <c r="C68" s="2"/>
      <c r="D68" s="2"/>
      <c r="E68" s="2"/>
      <c r="F68" s="2"/>
      <c r="G68" s="2"/>
      <c r="H68" s="2"/>
      <c r="I68" s="2"/>
      <c r="J68" s="13">
        <f t="shared" si="11"/>
        <v>0</v>
      </c>
      <c r="K68" s="2">
        <f t="shared" si="12"/>
        <v>0</v>
      </c>
      <c r="L68" s="14">
        <f t="shared" si="13"/>
        <v>0</v>
      </c>
      <c r="M68" s="16">
        <f t="shared" si="14"/>
        <v>0</v>
      </c>
      <c r="N68" s="16">
        <f t="shared" si="15"/>
        <v>0</v>
      </c>
      <c r="O68" s="2"/>
      <c r="P68" s="2"/>
      <c r="Q68" s="2"/>
      <c r="R68" s="2"/>
      <c r="S68" s="2"/>
    </row>
    <row r="69" spans="3:19" ht="20" customHeight="1" x14ac:dyDescent="0.3">
      <c r="C69" s="2"/>
      <c r="D69" s="2"/>
      <c r="E69" s="2"/>
      <c r="F69" s="2"/>
      <c r="G69" s="2"/>
      <c r="H69" s="2"/>
      <c r="I69" s="2"/>
      <c r="J69" s="13">
        <f t="shared" si="11"/>
        <v>0</v>
      </c>
      <c r="K69" s="2">
        <f t="shared" si="12"/>
        <v>0</v>
      </c>
      <c r="L69" s="14">
        <f t="shared" si="13"/>
        <v>0</v>
      </c>
      <c r="M69" s="16">
        <f t="shared" si="14"/>
        <v>0</v>
      </c>
      <c r="N69" s="16">
        <f t="shared" si="15"/>
        <v>0</v>
      </c>
      <c r="O69" s="2"/>
      <c r="P69" s="2"/>
      <c r="Q69" s="2"/>
      <c r="R69" s="2"/>
      <c r="S69" s="2"/>
    </row>
    <row r="70" spans="3:19" ht="20" customHeight="1" x14ac:dyDescent="0.3">
      <c r="C70" s="2"/>
      <c r="D70" s="2"/>
      <c r="E70" s="2"/>
      <c r="F70" s="2"/>
      <c r="G70" s="2"/>
      <c r="H70" s="2"/>
      <c r="I70" s="2"/>
      <c r="J70" s="13">
        <f t="shared" si="11"/>
        <v>0</v>
      </c>
      <c r="K70" s="2">
        <f t="shared" si="12"/>
        <v>0</v>
      </c>
      <c r="L70" s="14">
        <f t="shared" si="13"/>
        <v>0</v>
      </c>
      <c r="M70" s="16">
        <f t="shared" si="14"/>
        <v>0</v>
      </c>
      <c r="N70" s="16">
        <f t="shared" si="15"/>
        <v>0</v>
      </c>
      <c r="O70" s="2"/>
      <c r="P70" s="2"/>
      <c r="Q70" s="2"/>
      <c r="R70" s="2"/>
      <c r="S70" s="2"/>
    </row>
    <row r="71" spans="3:19" ht="20" customHeight="1" x14ac:dyDescent="0.3">
      <c r="C71" s="2"/>
      <c r="D71" s="2"/>
      <c r="E71" s="2"/>
      <c r="F71" s="2"/>
      <c r="G71" s="2"/>
      <c r="H71" s="2"/>
      <c r="I71" s="2"/>
      <c r="J71" s="13">
        <f t="shared" si="11"/>
        <v>0</v>
      </c>
      <c r="K71" s="2">
        <f t="shared" si="12"/>
        <v>0</v>
      </c>
      <c r="L71" s="14">
        <f t="shared" si="13"/>
        <v>0</v>
      </c>
      <c r="M71" s="16">
        <f t="shared" si="14"/>
        <v>0</v>
      </c>
      <c r="N71" s="16">
        <f t="shared" si="15"/>
        <v>0</v>
      </c>
      <c r="O71" s="2"/>
      <c r="P71" s="2"/>
      <c r="Q71" s="2"/>
      <c r="R71" s="2"/>
      <c r="S71" s="2"/>
    </row>
    <row r="72" spans="3:19" ht="20" customHeight="1" x14ac:dyDescent="0.3">
      <c r="C72" s="2"/>
      <c r="D72" s="2"/>
      <c r="E72" s="2"/>
      <c r="F72" s="2"/>
      <c r="G72" s="2"/>
      <c r="H72" s="2"/>
      <c r="I72" s="2"/>
      <c r="J72" s="13">
        <f t="shared" si="11"/>
        <v>0</v>
      </c>
      <c r="K72" s="2">
        <f t="shared" si="12"/>
        <v>0</v>
      </c>
      <c r="L72" s="14">
        <f t="shared" si="13"/>
        <v>0</v>
      </c>
      <c r="M72" s="16">
        <f t="shared" si="14"/>
        <v>0</v>
      </c>
      <c r="N72" s="16">
        <f t="shared" si="15"/>
        <v>0</v>
      </c>
      <c r="O72" s="2"/>
      <c r="P72" s="2"/>
      <c r="Q72" s="2"/>
      <c r="R72" s="2"/>
      <c r="S72" s="2"/>
    </row>
    <row r="73" spans="3:19" ht="20" customHeight="1" x14ac:dyDescent="0.3">
      <c r="C73" s="2"/>
      <c r="D73" s="2"/>
      <c r="E73" s="2"/>
      <c r="F73" s="2"/>
      <c r="G73" s="2"/>
      <c r="H73" s="2"/>
      <c r="I73" s="2"/>
      <c r="J73" s="13">
        <f t="shared" si="11"/>
        <v>0</v>
      </c>
      <c r="K73" s="2">
        <f t="shared" si="12"/>
        <v>0</v>
      </c>
      <c r="L73" s="14">
        <f t="shared" si="13"/>
        <v>0</v>
      </c>
      <c r="M73" s="16">
        <f t="shared" si="14"/>
        <v>0</v>
      </c>
      <c r="N73" s="16">
        <f t="shared" si="15"/>
        <v>0</v>
      </c>
      <c r="O73" s="2"/>
      <c r="P73" s="2"/>
      <c r="Q73" s="2"/>
      <c r="R73" s="2"/>
      <c r="S73" s="2"/>
    </row>
    <row r="74" spans="3:19" ht="20" customHeight="1" x14ac:dyDescent="0.3">
      <c r="C74" s="2"/>
      <c r="D74" s="2"/>
      <c r="E74" s="2"/>
      <c r="F74" s="2"/>
      <c r="G74" s="2"/>
      <c r="H74" s="2"/>
      <c r="I74" s="2"/>
      <c r="J74" s="13">
        <f t="shared" si="11"/>
        <v>0</v>
      </c>
      <c r="K74" s="2">
        <f t="shared" si="12"/>
        <v>0</v>
      </c>
      <c r="L74" s="14">
        <f t="shared" si="13"/>
        <v>0</v>
      </c>
      <c r="M74" s="16">
        <f t="shared" si="14"/>
        <v>0</v>
      </c>
      <c r="N74" s="16">
        <f t="shared" si="15"/>
        <v>0</v>
      </c>
      <c r="O74" s="2"/>
      <c r="P74" s="2"/>
      <c r="Q74" s="2"/>
      <c r="R74" s="2"/>
      <c r="S74" s="2"/>
    </row>
    <row r="75" spans="3:19" ht="20" customHeight="1" x14ac:dyDescent="0.3">
      <c r="C75" s="2"/>
      <c r="D75" s="2"/>
      <c r="E75" s="2"/>
      <c r="F75" s="2"/>
      <c r="G75" s="2"/>
      <c r="H75" s="2"/>
      <c r="I75" s="2"/>
      <c r="J75" s="13">
        <f t="shared" si="11"/>
        <v>0</v>
      </c>
      <c r="K75" s="2">
        <f t="shared" si="12"/>
        <v>0</v>
      </c>
      <c r="L75" s="14">
        <f t="shared" si="13"/>
        <v>0</v>
      </c>
      <c r="M75" s="16">
        <f t="shared" si="14"/>
        <v>0</v>
      </c>
      <c r="N75" s="16">
        <f t="shared" si="15"/>
        <v>0</v>
      </c>
      <c r="O75" s="2"/>
      <c r="P75" s="2"/>
      <c r="Q75" s="2"/>
      <c r="R75" s="2"/>
      <c r="S75" s="2"/>
    </row>
    <row r="76" spans="3:19" ht="20" customHeight="1" x14ac:dyDescent="0.3">
      <c r="C76" s="2"/>
      <c r="D76" s="2"/>
      <c r="E76" s="2"/>
      <c r="F76" s="2"/>
      <c r="G76" s="2"/>
      <c r="H76" s="2"/>
      <c r="I76" s="2"/>
      <c r="J76" s="13">
        <f t="shared" si="11"/>
        <v>0</v>
      </c>
      <c r="K76" s="2">
        <f t="shared" si="12"/>
        <v>0</v>
      </c>
      <c r="L76" s="14">
        <f t="shared" si="13"/>
        <v>0</v>
      </c>
      <c r="M76" s="16">
        <f t="shared" si="14"/>
        <v>0</v>
      </c>
      <c r="N76" s="16">
        <f t="shared" si="15"/>
        <v>0</v>
      </c>
      <c r="O76" s="2"/>
      <c r="P76" s="2"/>
      <c r="Q76" s="2"/>
      <c r="R76" s="2"/>
      <c r="S76" s="2"/>
    </row>
    <row r="77" spans="3:19" ht="20" customHeight="1" x14ac:dyDescent="0.3">
      <c r="C77" s="2"/>
      <c r="D77" s="2"/>
      <c r="E77" s="2"/>
      <c r="F77" s="2"/>
      <c r="G77" s="2"/>
      <c r="H77" s="2"/>
      <c r="I77" s="2"/>
      <c r="J77" s="13">
        <f t="shared" si="11"/>
        <v>0</v>
      </c>
      <c r="K77" s="2">
        <f t="shared" si="12"/>
        <v>0</v>
      </c>
      <c r="L77" s="14">
        <f t="shared" si="13"/>
        <v>0</v>
      </c>
      <c r="M77" s="16">
        <f t="shared" si="14"/>
        <v>0</v>
      </c>
      <c r="N77" s="16">
        <f t="shared" si="15"/>
        <v>0</v>
      </c>
      <c r="O77" s="2"/>
      <c r="P77" s="2"/>
      <c r="Q77" s="2"/>
      <c r="R77" s="2"/>
      <c r="S77" s="2"/>
    </row>
    <row r="78" spans="3:19" ht="20" customHeight="1" x14ac:dyDescent="0.3">
      <c r="C78" s="2"/>
      <c r="D78" s="2"/>
      <c r="E78" s="2"/>
      <c r="F78" s="2"/>
      <c r="G78" s="2"/>
      <c r="H78" s="2"/>
      <c r="I78" s="2"/>
      <c r="J78" s="13">
        <f t="shared" si="11"/>
        <v>0</v>
      </c>
      <c r="K78" s="2">
        <f t="shared" si="12"/>
        <v>0</v>
      </c>
      <c r="L78" s="14">
        <f t="shared" si="13"/>
        <v>0</v>
      </c>
      <c r="M78" s="16">
        <f t="shared" si="14"/>
        <v>0</v>
      </c>
      <c r="N78" s="16">
        <f t="shared" si="15"/>
        <v>0</v>
      </c>
      <c r="O78" s="2"/>
      <c r="P78" s="2"/>
      <c r="Q78" s="2"/>
      <c r="R78" s="2"/>
      <c r="S78" s="2"/>
    </row>
    <row r="79" spans="3:19" ht="20" customHeight="1" x14ac:dyDescent="0.3">
      <c r="C79" s="2"/>
      <c r="D79" s="2"/>
      <c r="E79" s="2"/>
      <c r="F79" s="2"/>
      <c r="G79" s="2"/>
      <c r="H79" s="2"/>
      <c r="I79" s="2"/>
      <c r="J79" s="13">
        <f t="shared" si="11"/>
        <v>0</v>
      </c>
      <c r="K79" s="2">
        <f t="shared" si="12"/>
        <v>0</v>
      </c>
      <c r="L79" s="14">
        <f t="shared" si="13"/>
        <v>0</v>
      </c>
      <c r="M79" s="16">
        <f t="shared" si="14"/>
        <v>0</v>
      </c>
      <c r="N79" s="16">
        <f t="shared" si="15"/>
        <v>0</v>
      </c>
      <c r="O79" s="2"/>
      <c r="P79" s="2"/>
      <c r="Q79" s="2"/>
      <c r="R79" s="2"/>
      <c r="S79" s="2"/>
    </row>
    <row r="80" spans="3:19" ht="20" customHeight="1" x14ac:dyDescent="0.3">
      <c r="C80" s="2"/>
      <c r="D80" s="2"/>
      <c r="E80" s="2"/>
      <c r="F80" s="2"/>
      <c r="G80" s="2"/>
      <c r="H80" s="2"/>
      <c r="I80" s="2"/>
      <c r="J80" s="13">
        <f t="shared" si="11"/>
        <v>0</v>
      </c>
      <c r="K80" s="2">
        <f t="shared" si="12"/>
        <v>0</v>
      </c>
      <c r="L80" s="14">
        <f t="shared" si="13"/>
        <v>0</v>
      </c>
      <c r="M80" s="16">
        <f t="shared" si="14"/>
        <v>0</v>
      </c>
      <c r="N80" s="16">
        <f t="shared" si="15"/>
        <v>0</v>
      </c>
      <c r="O80" s="2"/>
      <c r="P80" s="2"/>
      <c r="Q80" s="2"/>
      <c r="R80" s="2"/>
      <c r="S80" s="2"/>
    </row>
    <row r="81" spans="3:19" ht="20" customHeight="1" x14ac:dyDescent="0.3">
      <c r="C81" s="2"/>
      <c r="D81" s="2"/>
      <c r="E81" s="2"/>
      <c r="F81" s="2"/>
      <c r="G81" s="2"/>
      <c r="H81" s="2"/>
      <c r="I81" s="2"/>
      <c r="J81" s="13">
        <f t="shared" si="11"/>
        <v>0</v>
      </c>
      <c r="K81" s="2">
        <f t="shared" si="12"/>
        <v>0</v>
      </c>
      <c r="L81" s="14">
        <f t="shared" si="13"/>
        <v>0</v>
      </c>
      <c r="M81" s="16">
        <f t="shared" si="14"/>
        <v>0</v>
      </c>
      <c r="N81" s="16">
        <f t="shared" si="15"/>
        <v>0</v>
      </c>
      <c r="O81" s="2"/>
      <c r="P81" s="2"/>
      <c r="Q81" s="2"/>
      <c r="R81" s="2"/>
      <c r="S81" s="2"/>
    </row>
    <row r="82" spans="3:19" ht="20" customHeight="1" x14ac:dyDescent="0.3">
      <c r="C82" s="2"/>
      <c r="D82" s="2"/>
      <c r="E82" s="2"/>
      <c r="F82" s="2"/>
      <c r="G82" s="2"/>
      <c r="H82" s="2"/>
      <c r="I82" s="2"/>
      <c r="J82" s="13">
        <f t="shared" si="11"/>
        <v>0</v>
      </c>
      <c r="K82" s="2">
        <f t="shared" si="12"/>
        <v>0</v>
      </c>
      <c r="L82" s="14">
        <f t="shared" si="13"/>
        <v>0</v>
      </c>
      <c r="M82" s="16">
        <f t="shared" si="14"/>
        <v>0</v>
      </c>
      <c r="N82" s="16">
        <f t="shared" si="15"/>
        <v>0</v>
      </c>
      <c r="O82" s="2"/>
      <c r="P82" s="2"/>
      <c r="Q82" s="2"/>
      <c r="R82" s="2"/>
      <c r="S82" s="2"/>
    </row>
    <row r="83" spans="3:19" ht="20" customHeight="1" x14ac:dyDescent="0.3">
      <c r="C83" s="2"/>
      <c r="D83" s="2"/>
      <c r="E83" s="2"/>
      <c r="F83" s="2"/>
      <c r="G83" s="2"/>
      <c r="H83" s="2"/>
      <c r="I83" s="2"/>
      <c r="J83" s="13">
        <f t="shared" si="7"/>
        <v>0</v>
      </c>
      <c r="K83" s="2">
        <f t="shared" si="2"/>
        <v>0</v>
      </c>
      <c r="L83" s="14">
        <f t="shared" si="10"/>
        <v>0</v>
      </c>
      <c r="M83" s="16">
        <f t="shared" si="5"/>
        <v>0</v>
      </c>
      <c r="N83" s="16">
        <f t="shared" si="6"/>
        <v>0</v>
      </c>
      <c r="O83" s="2"/>
      <c r="P83" s="2"/>
      <c r="Q83" s="2"/>
      <c r="R83" s="2"/>
      <c r="S83" s="2"/>
    </row>
    <row r="84" spans="3:19" ht="20" customHeight="1" x14ac:dyDescent="0.3">
      <c r="C84" s="2"/>
      <c r="D84" s="2"/>
      <c r="E84" s="2"/>
      <c r="F84" s="2"/>
      <c r="G84" s="2"/>
      <c r="H84" s="2"/>
      <c r="I84" s="2"/>
      <c r="J84" s="13">
        <f t="shared" si="7"/>
        <v>0</v>
      </c>
      <c r="K84" s="2">
        <f t="shared" si="2"/>
        <v>0</v>
      </c>
      <c r="L84" s="14">
        <f t="shared" si="10"/>
        <v>0</v>
      </c>
      <c r="M84" s="16">
        <f t="shared" si="5"/>
        <v>0</v>
      </c>
      <c r="N84" s="16">
        <f t="shared" si="6"/>
        <v>0</v>
      </c>
      <c r="O84" s="2"/>
      <c r="P84" s="2"/>
      <c r="Q84" s="2"/>
      <c r="R84" s="2"/>
      <c r="S84" s="2"/>
    </row>
    <row r="85" spans="3:19" ht="20" customHeight="1" x14ac:dyDescent="0.3">
      <c r="C85" s="2"/>
      <c r="D85" s="2"/>
      <c r="E85" s="2"/>
      <c r="F85" s="2"/>
      <c r="G85" s="2"/>
      <c r="H85" s="2"/>
      <c r="I85" s="2"/>
      <c r="J85" s="13">
        <f t="shared" si="7"/>
        <v>0</v>
      </c>
      <c r="K85" s="2">
        <f t="shared" si="2"/>
        <v>0</v>
      </c>
      <c r="L85" s="14">
        <f t="shared" si="10"/>
        <v>0</v>
      </c>
      <c r="M85" s="16">
        <f t="shared" si="5"/>
        <v>0</v>
      </c>
      <c r="N85" s="16">
        <f t="shared" si="6"/>
        <v>0</v>
      </c>
      <c r="O85" s="2"/>
      <c r="P85" s="2"/>
      <c r="Q85" s="2"/>
      <c r="R85" s="2"/>
      <c r="S85" s="2"/>
    </row>
    <row r="86" spans="3:19" ht="20" customHeight="1" x14ac:dyDescent="0.3">
      <c r="C86" s="2"/>
      <c r="D86" s="2"/>
      <c r="E86" s="2"/>
      <c r="F86" s="2"/>
      <c r="G86" s="2"/>
      <c r="H86" s="2"/>
      <c r="I86" s="2"/>
      <c r="J86" s="13">
        <f t="shared" si="7"/>
        <v>0</v>
      </c>
      <c r="K86" s="2">
        <f t="shared" si="2"/>
        <v>0</v>
      </c>
      <c r="L86" s="14">
        <f t="shared" si="10"/>
        <v>0</v>
      </c>
      <c r="M86" s="16">
        <f t="shared" si="5"/>
        <v>0</v>
      </c>
      <c r="N86" s="16">
        <f t="shared" si="6"/>
        <v>0</v>
      </c>
      <c r="O86" s="2"/>
      <c r="P86" s="2"/>
      <c r="Q86" s="2"/>
      <c r="R86" s="2"/>
      <c r="S86" s="2"/>
    </row>
    <row r="87" spans="3:19" ht="20" customHeight="1" x14ac:dyDescent="0.3">
      <c r="C87" s="2"/>
      <c r="D87" s="2"/>
      <c r="E87" s="2"/>
      <c r="F87" s="2"/>
      <c r="G87" s="2"/>
      <c r="H87" s="2"/>
      <c r="I87" s="2"/>
      <c r="J87" s="13">
        <f t="shared" si="7"/>
        <v>0</v>
      </c>
      <c r="K87" s="2">
        <f t="shared" si="2"/>
        <v>0</v>
      </c>
      <c r="L87" s="14">
        <f t="shared" si="10"/>
        <v>0</v>
      </c>
      <c r="M87" s="16">
        <f t="shared" si="5"/>
        <v>0</v>
      </c>
      <c r="N87" s="16">
        <f t="shared" si="6"/>
        <v>0</v>
      </c>
      <c r="O87" s="2"/>
      <c r="P87" s="2"/>
      <c r="Q87" s="2"/>
      <c r="R87" s="2"/>
      <c r="S87" s="2"/>
    </row>
    <row r="88" spans="3:19" ht="20" customHeight="1" x14ac:dyDescent="0.3">
      <c r="C88" s="2"/>
      <c r="D88" s="2"/>
      <c r="E88" s="2"/>
      <c r="F88" s="2"/>
      <c r="G88" s="2"/>
      <c r="H88" s="2"/>
      <c r="I88" s="2"/>
      <c r="J88" s="13">
        <f t="shared" si="7"/>
        <v>0</v>
      </c>
      <c r="K88" s="2">
        <f t="shared" si="2"/>
        <v>0</v>
      </c>
      <c r="L88" s="14">
        <f t="shared" si="10"/>
        <v>0</v>
      </c>
      <c r="M88" s="16">
        <f t="shared" si="5"/>
        <v>0</v>
      </c>
      <c r="N88" s="16">
        <f t="shared" si="6"/>
        <v>0</v>
      </c>
      <c r="O88" s="2"/>
      <c r="P88" s="2"/>
      <c r="Q88" s="2"/>
      <c r="R88" s="2"/>
      <c r="S88" s="2"/>
    </row>
    <row r="89" spans="3:19" ht="20" customHeight="1" x14ac:dyDescent="0.3">
      <c r="C89" s="2"/>
      <c r="D89" s="2"/>
      <c r="E89" s="2"/>
      <c r="F89" s="2"/>
      <c r="G89" s="2"/>
      <c r="H89" s="2"/>
      <c r="I89" s="2"/>
      <c r="J89" s="13">
        <f t="shared" si="7"/>
        <v>0</v>
      </c>
      <c r="K89" s="2">
        <f t="shared" si="2"/>
        <v>0</v>
      </c>
      <c r="L89" s="14">
        <f t="shared" si="10"/>
        <v>0</v>
      </c>
      <c r="M89" s="16">
        <f t="shared" si="5"/>
        <v>0</v>
      </c>
      <c r="N89" s="16">
        <f t="shared" si="6"/>
        <v>0</v>
      </c>
      <c r="O89" s="2"/>
      <c r="P89" s="2"/>
      <c r="Q89" s="2"/>
      <c r="R89" s="2"/>
      <c r="S89" s="2"/>
    </row>
    <row r="90" spans="3:19" ht="20" customHeight="1" x14ac:dyDescent="0.3">
      <c r="C90" s="2"/>
      <c r="D90" s="2"/>
      <c r="E90" s="2"/>
      <c r="F90" s="2"/>
      <c r="G90" s="2"/>
      <c r="H90" s="2"/>
      <c r="I90" s="2"/>
      <c r="J90" s="13">
        <f t="shared" si="7"/>
        <v>0</v>
      </c>
      <c r="K90" s="2">
        <f t="shared" si="2"/>
        <v>0</v>
      </c>
      <c r="L90" s="14">
        <f t="shared" si="10"/>
        <v>0</v>
      </c>
      <c r="M90" s="16">
        <f t="shared" si="5"/>
        <v>0</v>
      </c>
      <c r="N90" s="16">
        <f t="shared" si="6"/>
        <v>0</v>
      </c>
      <c r="O90" s="2"/>
      <c r="P90" s="2"/>
      <c r="Q90" s="2"/>
      <c r="R90" s="2"/>
      <c r="S90" s="2"/>
    </row>
    <row r="91" spans="3:19" ht="20" customHeight="1" x14ac:dyDescent="0.3">
      <c r="C91" s="2"/>
      <c r="D91" s="2"/>
      <c r="E91" s="2"/>
      <c r="F91" s="2"/>
      <c r="G91" s="2"/>
      <c r="H91" s="2"/>
      <c r="I91" s="2"/>
      <c r="J91" s="13">
        <f t="shared" si="7"/>
        <v>0</v>
      </c>
      <c r="K91" s="2">
        <f t="shared" si="2"/>
        <v>0</v>
      </c>
      <c r="L91" s="14">
        <f t="shared" si="10"/>
        <v>0</v>
      </c>
      <c r="M91" s="16">
        <f t="shared" si="5"/>
        <v>0</v>
      </c>
      <c r="N91" s="16">
        <f t="shared" si="6"/>
        <v>0</v>
      </c>
      <c r="O91" s="2"/>
      <c r="P91" s="2"/>
      <c r="Q91" s="2"/>
      <c r="R91" s="2"/>
      <c r="S91" s="2"/>
    </row>
    <row r="92" spans="3:19" ht="20" customHeight="1" x14ac:dyDescent="0.3">
      <c r="C92" s="2"/>
      <c r="D92" s="2"/>
      <c r="E92" s="2"/>
      <c r="F92" s="2"/>
      <c r="G92" s="2"/>
      <c r="H92" s="2"/>
      <c r="I92" s="2"/>
      <c r="J92" s="13">
        <f t="shared" si="7"/>
        <v>0</v>
      </c>
      <c r="K92" s="2">
        <f t="shared" si="2"/>
        <v>0</v>
      </c>
      <c r="L92" s="14">
        <f t="shared" si="10"/>
        <v>0</v>
      </c>
      <c r="M92" s="16">
        <f t="shared" si="5"/>
        <v>0</v>
      </c>
      <c r="N92" s="16">
        <f t="shared" si="6"/>
        <v>0</v>
      </c>
      <c r="O92" s="2"/>
      <c r="P92" s="2"/>
      <c r="Q92" s="2"/>
      <c r="R92" s="2"/>
      <c r="S92" s="2"/>
    </row>
    <row r="93" spans="3:19" ht="20" customHeight="1" x14ac:dyDescent="0.3">
      <c r="C93" s="2"/>
      <c r="D93" s="2"/>
      <c r="E93" s="2"/>
      <c r="F93" s="2"/>
      <c r="G93" s="2"/>
      <c r="H93" s="2"/>
      <c r="I93" s="2"/>
      <c r="J93" s="13">
        <f t="shared" si="7"/>
        <v>0</v>
      </c>
      <c r="K93" s="2">
        <f t="shared" si="2"/>
        <v>0</v>
      </c>
      <c r="L93" s="14">
        <f t="shared" si="10"/>
        <v>0</v>
      </c>
      <c r="M93" s="16">
        <f t="shared" si="5"/>
        <v>0</v>
      </c>
      <c r="N93" s="16">
        <f t="shared" si="6"/>
        <v>0</v>
      </c>
      <c r="O93" s="2"/>
      <c r="P93" s="2"/>
      <c r="Q93" s="2"/>
      <c r="R93" s="2"/>
      <c r="S93" s="2"/>
    </row>
    <row r="94" spans="3:19" ht="20" customHeight="1" x14ac:dyDescent="0.3">
      <c r="C94" s="2"/>
      <c r="D94" s="2"/>
      <c r="E94" s="2"/>
      <c r="F94" s="2"/>
      <c r="G94" s="2"/>
      <c r="H94" s="2"/>
      <c r="I94" s="2"/>
      <c r="J94" s="13">
        <f t="shared" si="7"/>
        <v>0</v>
      </c>
      <c r="K94" s="2">
        <f t="shared" si="2"/>
        <v>0</v>
      </c>
      <c r="L94" s="14">
        <f t="shared" si="10"/>
        <v>0</v>
      </c>
      <c r="M94" s="16">
        <f t="shared" si="5"/>
        <v>0</v>
      </c>
      <c r="N94" s="16">
        <f t="shared" si="6"/>
        <v>0</v>
      </c>
      <c r="O94" s="2"/>
      <c r="P94" s="2"/>
      <c r="Q94" s="2"/>
      <c r="R94" s="2"/>
      <c r="S94" s="2"/>
    </row>
    <row r="95" spans="3:19" ht="20" customHeight="1" x14ac:dyDescent="0.3">
      <c r="C95" s="2"/>
      <c r="D95" s="2"/>
      <c r="E95" s="2"/>
      <c r="F95" s="2"/>
      <c r="G95" s="2"/>
      <c r="H95" s="2"/>
      <c r="I95" s="2"/>
      <c r="J95" s="13">
        <f t="shared" si="7"/>
        <v>0</v>
      </c>
      <c r="K95" s="2">
        <f t="shared" ref="K95:K139" si="16">(G95*$I$5)+(H95*$I$6)+(I95*$I$7)</f>
        <v>0</v>
      </c>
      <c r="L95" s="14">
        <f t="shared" si="10"/>
        <v>0</v>
      </c>
      <c r="M95" s="16">
        <f t="shared" si="5"/>
        <v>0</v>
      </c>
      <c r="N95" s="16">
        <f t="shared" si="6"/>
        <v>0</v>
      </c>
      <c r="O95" s="2"/>
      <c r="P95" s="2"/>
      <c r="Q95" s="2"/>
      <c r="R95" s="2"/>
      <c r="S95" s="2"/>
    </row>
    <row r="96" spans="3:19" ht="20" customHeight="1" x14ac:dyDescent="0.3">
      <c r="C96" s="2"/>
      <c r="D96" s="2"/>
      <c r="E96" s="2"/>
      <c r="F96" s="2"/>
      <c r="G96" s="2"/>
      <c r="H96" s="2"/>
      <c r="I96" s="2"/>
      <c r="J96" s="13">
        <f t="shared" si="7"/>
        <v>0</v>
      </c>
      <c r="K96" s="2">
        <f t="shared" si="16"/>
        <v>0</v>
      </c>
      <c r="L96" s="14">
        <f t="shared" si="10"/>
        <v>0</v>
      </c>
      <c r="M96" s="16">
        <f t="shared" ref="M96:M139" si="17">I96*$M$2</f>
        <v>0</v>
      </c>
      <c r="N96" s="16">
        <f t="shared" ref="N96:N139" si="18">I96*$M$3</f>
        <v>0</v>
      </c>
      <c r="O96" s="2"/>
      <c r="P96" s="2"/>
      <c r="Q96" s="2"/>
      <c r="R96" s="2"/>
      <c r="S96" s="2"/>
    </row>
    <row r="97" spans="3:19" ht="20" customHeight="1" x14ac:dyDescent="0.3">
      <c r="C97" s="2"/>
      <c r="D97" s="2"/>
      <c r="E97" s="2"/>
      <c r="F97" s="2"/>
      <c r="G97" s="2"/>
      <c r="H97" s="2"/>
      <c r="I97" s="2"/>
      <c r="J97" s="13">
        <f t="shared" si="7"/>
        <v>0</v>
      </c>
      <c r="K97" s="2">
        <f t="shared" si="16"/>
        <v>0</v>
      </c>
      <c r="L97" s="14">
        <f t="shared" si="10"/>
        <v>0</v>
      </c>
      <c r="M97" s="16">
        <f t="shared" si="17"/>
        <v>0</v>
      </c>
      <c r="N97" s="16">
        <f t="shared" si="18"/>
        <v>0</v>
      </c>
      <c r="O97" s="2"/>
      <c r="P97" s="2"/>
      <c r="Q97" s="2"/>
      <c r="R97" s="2"/>
      <c r="S97" s="2"/>
    </row>
    <row r="98" spans="3:19" ht="20" customHeight="1" x14ac:dyDescent="0.3">
      <c r="C98" s="2"/>
      <c r="D98" s="2"/>
      <c r="E98" s="2"/>
      <c r="F98" s="2"/>
      <c r="G98" s="2"/>
      <c r="H98" s="2"/>
      <c r="I98" s="2"/>
      <c r="J98" s="13">
        <f t="shared" si="7"/>
        <v>0</v>
      </c>
      <c r="K98" s="2">
        <f t="shared" si="16"/>
        <v>0</v>
      </c>
      <c r="L98" s="14">
        <f t="shared" si="10"/>
        <v>0</v>
      </c>
      <c r="M98" s="16">
        <f t="shared" si="17"/>
        <v>0</v>
      </c>
      <c r="N98" s="16">
        <f t="shared" si="18"/>
        <v>0</v>
      </c>
      <c r="O98" s="2"/>
      <c r="P98" s="2"/>
      <c r="Q98" s="2"/>
      <c r="R98" s="2"/>
      <c r="S98" s="2"/>
    </row>
    <row r="99" spans="3:19" ht="20" customHeight="1" x14ac:dyDescent="0.3">
      <c r="C99" s="2"/>
      <c r="D99" s="2"/>
      <c r="E99" s="2"/>
      <c r="F99" s="2"/>
      <c r="G99" s="2"/>
      <c r="H99" s="2"/>
      <c r="I99" s="2"/>
      <c r="J99" s="13">
        <f t="shared" si="7"/>
        <v>0</v>
      </c>
      <c r="K99" s="2">
        <f t="shared" si="16"/>
        <v>0</v>
      </c>
      <c r="L99" s="14">
        <f t="shared" si="10"/>
        <v>0</v>
      </c>
      <c r="M99" s="16">
        <f t="shared" si="17"/>
        <v>0</v>
      </c>
      <c r="N99" s="16">
        <f t="shared" si="18"/>
        <v>0</v>
      </c>
      <c r="O99" s="2"/>
      <c r="P99" s="2"/>
      <c r="Q99" s="2"/>
      <c r="R99" s="2"/>
      <c r="S99" s="2"/>
    </row>
    <row r="100" spans="3:19" ht="20" customHeight="1" x14ac:dyDescent="0.3">
      <c r="C100" s="2"/>
      <c r="D100" s="2"/>
      <c r="E100" s="2"/>
      <c r="F100" s="2"/>
      <c r="G100" s="2"/>
      <c r="H100" s="2"/>
      <c r="I100" s="2"/>
      <c r="J100" s="13">
        <f t="shared" si="7"/>
        <v>0</v>
      </c>
      <c r="K100" s="2">
        <f t="shared" si="16"/>
        <v>0</v>
      </c>
      <c r="L100" s="14">
        <f t="shared" si="10"/>
        <v>0</v>
      </c>
      <c r="M100" s="16">
        <f t="shared" si="17"/>
        <v>0</v>
      </c>
      <c r="N100" s="16">
        <f t="shared" si="18"/>
        <v>0</v>
      </c>
      <c r="O100" s="2"/>
      <c r="P100" s="2"/>
      <c r="Q100" s="2"/>
      <c r="R100" s="2"/>
      <c r="S100" s="2"/>
    </row>
    <row r="101" spans="3:19" ht="20" customHeight="1" x14ac:dyDescent="0.3">
      <c r="C101" s="2"/>
      <c r="D101" s="2"/>
      <c r="E101" s="2"/>
      <c r="F101" s="2"/>
      <c r="G101" s="2"/>
      <c r="H101" s="2"/>
      <c r="I101" s="2"/>
      <c r="J101" s="13">
        <f t="shared" si="7"/>
        <v>0</v>
      </c>
      <c r="K101" s="2">
        <f t="shared" si="16"/>
        <v>0</v>
      </c>
      <c r="L101" s="14">
        <f t="shared" si="10"/>
        <v>0</v>
      </c>
      <c r="M101" s="16">
        <f t="shared" si="17"/>
        <v>0</v>
      </c>
      <c r="N101" s="16">
        <f t="shared" si="18"/>
        <v>0</v>
      </c>
      <c r="O101" s="2"/>
      <c r="P101" s="2"/>
      <c r="Q101" s="2"/>
      <c r="R101" s="2"/>
      <c r="S101" s="2"/>
    </row>
    <row r="102" spans="3:19" ht="20" customHeight="1" x14ac:dyDescent="0.3">
      <c r="C102" s="2"/>
      <c r="D102" s="2"/>
      <c r="E102" s="2"/>
      <c r="F102" s="2"/>
      <c r="G102" s="2"/>
      <c r="H102" s="2"/>
      <c r="I102" s="2"/>
      <c r="J102" s="13">
        <f t="shared" si="7"/>
        <v>0</v>
      </c>
      <c r="K102" s="2">
        <f t="shared" si="16"/>
        <v>0</v>
      </c>
      <c r="L102" s="14">
        <f t="shared" si="10"/>
        <v>0</v>
      </c>
      <c r="M102" s="16">
        <f t="shared" si="17"/>
        <v>0</v>
      </c>
      <c r="N102" s="16">
        <f t="shared" si="18"/>
        <v>0</v>
      </c>
      <c r="O102" s="2"/>
      <c r="P102" s="2"/>
      <c r="Q102" s="2"/>
      <c r="R102" s="2"/>
      <c r="S102" s="2"/>
    </row>
    <row r="103" spans="3:19" ht="20" customHeight="1" x14ac:dyDescent="0.3">
      <c r="C103" s="2"/>
      <c r="D103" s="2"/>
      <c r="E103" s="2"/>
      <c r="F103" s="2"/>
      <c r="G103" s="2"/>
      <c r="H103" s="2"/>
      <c r="I103" s="2"/>
      <c r="J103" s="13">
        <f t="shared" si="7"/>
        <v>0</v>
      </c>
      <c r="K103" s="2">
        <f t="shared" si="16"/>
        <v>0</v>
      </c>
      <c r="L103" s="14">
        <f t="shared" si="10"/>
        <v>0</v>
      </c>
      <c r="M103" s="16">
        <f t="shared" si="17"/>
        <v>0</v>
      </c>
      <c r="N103" s="16">
        <f t="shared" si="18"/>
        <v>0</v>
      </c>
      <c r="O103" s="2"/>
      <c r="P103" s="2"/>
      <c r="Q103" s="2"/>
      <c r="R103" s="2"/>
      <c r="S103" s="2"/>
    </row>
    <row r="104" spans="3:19" ht="20" customHeight="1" x14ac:dyDescent="0.3">
      <c r="C104" s="2"/>
      <c r="D104" s="2"/>
      <c r="E104" s="2"/>
      <c r="F104" s="2"/>
      <c r="G104" s="2"/>
      <c r="H104" s="2"/>
      <c r="I104" s="2"/>
      <c r="J104" s="13">
        <f t="shared" ref="J104:J139" si="19">(G104*$I$2)+(H104*$I$3)</f>
        <v>0</v>
      </c>
      <c r="K104" s="2">
        <f t="shared" si="16"/>
        <v>0</v>
      </c>
      <c r="L104" s="14">
        <f t="shared" ref="L104:L139" si="20">J104+K104</f>
        <v>0</v>
      </c>
      <c r="M104" s="16">
        <f t="shared" si="17"/>
        <v>0</v>
      </c>
      <c r="N104" s="16">
        <f t="shared" si="18"/>
        <v>0</v>
      </c>
      <c r="O104" s="2"/>
      <c r="P104" s="2"/>
      <c r="Q104" s="2"/>
      <c r="R104" s="2"/>
      <c r="S104" s="2"/>
    </row>
    <row r="105" spans="3:19" ht="20" customHeight="1" x14ac:dyDescent="0.3">
      <c r="C105" s="2"/>
      <c r="D105" s="2"/>
      <c r="E105" s="2"/>
      <c r="F105" s="2"/>
      <c r="G105" s="2"/>
      <c r="H105" s="2"/>
      <c r="I105" s="2"/>
      <c r="J105" s="13">
        <f t="shared" si="19"/>
        <v>0</v>
      </c>
      <c r="K105" s="2">
        <f t="shared" si="16"/>
        <v>0</v>
      </c>
      <c r="L105" s="14">
        <f t="shared" si="20"/>
        <v>0</v>
      </c>
      <c r="M105" s="16">
        <f t="shared" si="17"/>
        <v>0</v>
      </c>
      <c r="N105" s="16">
        <f t="shared" si="18"/>
        <v>0</v>
      </c>
      <c r="O105" s="2"/>
      <c r="P105" s="2"/>
      <c r="Q105" s="2"/>
      <c r="R105" s="2"/>
      <c r="S105" s="2"/>
    </row>
    <row r="106" spans="3:19" ht="20" customHeight="1" x14ac:dyDescent="0.3">
      <c r="C106" s="2"/>
      <c r="D106" s="2"/>
      <c r="E106" s="2"/>
      <c r="F106" s="2"/>
      <c r="G106" s="2"/>
      <c r="H106" s="2"/>
      <c r="I106" s="2"/>
      <c r="J106" s="13">
        <f t="shared" si="19"/>
        <v>0</v>
      </c>
      <c r="K106" s="2">
        <f t="shared" si="16"/>
        <v>0</v>
      </c>
      <c r="L106" s="14">
        <f t="shared" si="20"/>
        <v>0</v>
      </c>
      <c r="M106" s="16">
        <f t="shared" si="17"/>
        <v>0</v>
      </c>
      <c r="N106" s="16">
        <f t="shared" si="18"/>
        <v>0</v>
      </c>
      <c r="O106" s="2"/>
      <c r="P106" s="2"/>
      <c r="Q106" s="2"/>
      <c r="R106" s="2"/>
      <c r="S106" s="2"/>
    </row>
    <row r="107" spans="3:19" ht="20" customHeight="1" x14ac:dyDescent="0.3">
      <c r="C107" s="2"/>
      <c r="D107" s="2"/>
      <c r="E107" s="2"/>
      <c r="F107" s="2"/>
      <c r="G107" s="2"/>
      <c r="H107" s="2"/>
      <c r="I107" s="2"/>
      <c r="J107" s="13">
        <f t="shared" si="19"/>
        <v>0</v>
      </c>
      <c r="K107" s="2">
        <f t="shared" si="16"/>
        <v>0</v>
      </c>
      <c r="L107" s="14">
        <f t="shared" si="20"/>
        <v>0</v>
      </c>
      <c r="M107" s="16">
        <f t="shared" si="17"/>
        <v>0</v>
      </c>
      <c r="N107" s="16">
        <f t="shared" si="18"/>
        <v>0</v>
      </c>
      <c r="O107" s="2"/>
      <c r="P107" s="2"/>
      <c r="Q107" s="2"/>
      <c r="R107" s="2"/>
      <c r="S107" s="2"/>
    </row>
    <row r="108" spans="3:19" ht="20" customHeight="1" x14ac:dyDescent="0.3">
      <c r="C108" s="2"/>
      <c r="D108" s="2"/>
      <c r="E108" s="2"/>
      <c r="F108" s="2"/>
      <c r="G108" s="2"/>
      <c r="H108" s="2"/>
      <c r="I108" s="2"/>
      <c r="J108" s="13">
        <f t="shared" si="19"/>
        <v>0</v>
      </c>
      <c r="K108" s="2">
        <f t="shared" si="16"/>
        <v>0</v>
      </c>
      <c r="L108" s="14">
        <f t="shared" si="20"/>
        <v>0</v>
      </c>
      <c r="M108" s="16">
        <f t="shared" si="17"/>
        <v>0</v>
      </c>
      <c r="N108" s="16">
        <f t="shared" si="18"/>
        <v>0</v>
      </c>
      <c r="O108" s="2"/>
      <c r="P108" s="2"/>
      <c r="Q108" s="2"/>
      <c r="R108" s="2"/>
      <c r="S108" s="2"/>
    </row>
    <row r="109" spans="3:19" ht="20" customHeight="1" x14ac:dyDescent="0.3">
      <c r="C109" s="2"/>
      <c r="D109" s="2"/>
      <c r="E109" s="2"/>
      <c r="F109" s="2"/>
      <c r="G109" s="2"/>
      <c r="H109" s="2"/>
      <c r="I109" s="2"/>
      <c r="J109" s="13">
        <f t="shared" si="19"/>
        <v>0</v>
      </c>
      <c r="K109" s="2">
        <f t="shared" si="16"/>
        <v>0</v>
      </c>
      <c r="L109" s="14">
        <f t="shared" si="20"/>
        <v>0</v>
      </c>
      <c r="M109" s="16">
        <f t="shared" si="17"/>
        <v>0</v>
      </c>
      <c r="N109" s="16">
        <f t="shared" si="18"/>
        <v>0</v>
      </c>
      <c r="O109" s="2"/>
      <c r="P109" s="2"/>
      <c r="Q109" s="2"/>
      <c r="R109" s="2"/>
      <c r="S109" s="2"/>
    </row>
    <row r="110" spans="3:19" ht="20" customHeight="1" x14ac:dyDescent="0.3">
      <c r="C110" s="2"/>
      <c r="D110" s="2"/>
      <c r="E110" s="2"/>
      <c r="F110" s="2"/>
      <c r="G110" s="2"/>
      <c r="H110" s="2"/>
      <c r="I110" s="2"/>
      <c r="J110" s="13">
        <f t="shared" si="19"/>
        <v>0</v>
      </c>
      <c r="K110" s="2">
        <f t="shared" si="16"/>
        <v>0</v>
      </c>
      <c r="L110" s="14">
        <f t="shared" si="20"/>
        <v>0</v>
      </c>
      <c r="M110" s="16">
        <f t="shared" si="17"/>
        <v>0</v>
      </c>
      <c r="N110" s="16">
        <f t="shared" si="18"/>
        <v>0</v>
      </c>
      <c r="O110" s="2"/>
      <c r="P110" s="2"/>
      <c r="Q110" s="2"/>
      <c r="R110" s="2"/>
      <c r="S110" s="2"/>
    </row>
    <row r="111" spans="3:19" ht="20" customHeight="1" x14ac:dyDescent="0.3">
      <c r="C111" s="2"/>
      <c r="D111" s="2"/>
      <c r="E111" s="2"/>
      <c r="F111" s="2"/>
      <c r="G111" s="2"/>
      <c r="H111" s="2"/>
      <c r="I111" s="2"/>
      <c r="J111" s="13">
        <f t="shared" si="19"/>
        <v>0</v>
      </c>
      <c r="K111" s="2">
        <f t="shared" si="16"/>
        <v>0</v>
      </c>
      <c r="L111" s="14">
        <f t="shared" si="20"/>
        <v>0</v>
      </c>
      <c r="M111" s="16">
        <f t="shared" si="17"/>
        <v>0</v>
      </c>
      <c r="N111" s="16">
        <f t="shared" si="18"/>
        <v>0</v>
      </c>
      <c r="O111" s="2"/>
      <c r="P111" s="2"/>
      <c r="Q111" s="2"/>
      <c r="R111" s="2"/>
      <c r="S111" s="2"/>
    </row>
    <row r="112" spans="3:19" ht="20" customHeight="1" x14ac:dyDescent="0.3">
      <c r="C112" s="2"/>
      <c r="D112" s="2"/>
      <c r="E112" s="2"/>
      <c r="F112" s="2"/>
      <c r="G112" s="2"/>
      <c r="H112" s="2"/>
      <c r="I112" s="2"/>
      <c r="J112" s="13">
        <f t="shared" si="19"/>
        <v>0</v>
      </c>
      <c r="K112" s="2">
        <f t="shared" si="16"/>
        <v>0</v>
      </c>
      <c r="L112" s="14">
        <f t="shared" si="20"/>
        <v>0</v>
      </c>
      <c r="M112" s="16">
        <f t="shared" si="17"/>
        <v>0</v>
      </c>
      <c r="N112" s="16">
        <f t="shared" si="18"/>
        <v>0</v>
      </c>
      <c r="O112" s="2"/>
      <c r="P112" s="2"/>
      <c r="Q112" s="2"/>
      <c r="R112" s="2"/>
      <c r="S112" s="2"/>
    </row>
    <row r="113" spans="3:19" ht="20" customHeight="1" x14ac:dyDescent="0.3">
      <c r="C113" s="2"/>
      <c r="D113" s="2"/>
      <c r="E113" s="2"/>
      <c r="F113" s="2"/>
      <c r="G113" s="2"/>
      <c r="H113" s="2"/>
      <c r="I113" s="2"/>
      <c r="J113" s="13">
        <f t="shared" si="19"/>
        <v>0</v>
      </c>
      <c r="K113" s="2">
        <f t="shared" si="16"/>
        <v>0</v>
      </c>
      <c r="L113" s="14">
        <f t="shared" si="20"/>
        <v>0</v>
      </c>
      <c r="M113" s="16">
        <f t="shared" si="17"/>
        <v>0</v>
      </c>
      <c r="N113" s="16">
        <f t="shared" si="18"/>
        <v>0</v>
      </c>
      <c r="O113" s="2"/>
      <c r="P113" s="2"/>
      <c r="Q113" s="2"/>
      <c r="R113" s="2"/>
      <c r="S113" s="2"/>
    </row>
    <row r="114" spans="3:19" ht="20" customHeight="1" x14ac:dyDescent="0.3">
      <c r="C114" s="2"/>
      <c r="D114" s="2"/>
      <c r="E114" s="2"/>
      <c r="F114" s="2"/>
      <c r="G114" s="2"/>
      <c r="H114" s="2"/>
      <c r="I114" s="2"/>
      <c r="J114" s="13">
        <f t="shared" si="19"/>
        <v>0</v>
      </c>
      <c r="K114" s="2">
        <f t="shared" si="16"/>
        <v>0</v>
      </c>
      <c r="L114" s="14">
        <f t="shared" si="20"/>
        <v>0</v>
      </c>
      <c r="M114" s="16">
        <f t="shared" si="17"/>
        <v>0</v>
      </c>
      <c r="N114" s="16">
        <f t="shared" si="18"/>
        <v>0</v>
      </c>
      <c r="O114" s="2"/>
      <c r="P114" s="2"/>
      <c r="Q114" s="2"/>
      <c r="R114" s="2"/>
      <c r="S114" s="2"/>
    </row>
    <row r="115" spans="3:19" ht="20" customHeight="1" x14ac:dyDescent="0.3">
      <c r="C115" s="2"/>
      <c r="D115" s="2"/>
      <c r="E115" s="2"/>
      <c r="F115" s="2"/>
      <c r="G115" s="2"/>
      <c r="H115" s="2"/>
      <c r="I115" s="2"/>
      <c r="J115" s="13">
        <f t="shared" si="19"/>
        <v>0</v>
      </c>
      <c r="K115" s="2">
        <f t="shared" si="16"/>
        <v>0</v>
      </c>
      <c r="L115" s="14">
        <f t="shared" si="20"/>
        <v>0</v>
      </c>
      <c r="M115" s="16">
        <f t="shared" si="17"/>
        <v>0</v>
      </c>
      <c r="N115" s="16">
        <f t="shared" si="18"/>
        <v>0</v>
      </c>
      <c r="O115" s="2"/>
      <c r="P115" s="2"/>
      <c r="Q115" s="2"/>
      <c r="R115" s="2"/>
      <c r="S115" s="2"/>
    </row>
    <row r="116" spans="3:19" ht="20" customHeight="1" x14ac:dyDescent="0.3">
      <c r="C116" s="2"/>
      <c r="D116" s="2"/>
      <c r="E116" s="2"/>
      <c r="F116" s="2"/>
      <c r="G116" s="2"/>
      <c r="H116" s="2"/>
      <c r="I116" s="2"/>
      <c r="J116" s="13">
        <f t="shared" si="19"/>
        <v>0</v>
      </c>
      <c r="K116" s="2">
        <f t="shared" si="16"/>
        <v>0</v>
      </c>
      <c r="L116" s="14">
        <f t="shared" si="20"/>
        <v>0</v>
      </c>
      <c r="M116" s="16">
        <f t="shared" si="17"/>
        <v>0</v>
      </c>
      <c r="N116" s="16">
        <f t="shared" si="18"/>
        <v>0</v>
      </c>
      <c r="O116" s="2"/>
      <c r="P116" s="2"/>
      <c r="Q116" s="2"/>
      <c r="R116" s="2"/>
      <c r="S116" s="2"/>
    </row>
    <row r="117" spans="3:19" ht="20" customHeight="1" x14ac:dyDescent="0.3">
      <c r="C117" s="2"/>
      <c r="D117" s="2"/>
      <c r="E117" s="2"/>
      <c r="F117" s="2"/>
      <c r="G117" s="2"/>
      <c r="H117" s="2"/>
      <c r="I117" s="2"/>
      <c r="J117" s="13">
        <f t="shared" si="19"/>
        <v>0</v>
      </c>
      <c r="K117" s="2">
        <f t="shared" si="16"/>
        <v>0</v>
      </c>
      <c r="L117" s="14">
        <f t="shared" si="20"/>
        <v>0</v>
      </c>
      <c r="M117" s="16">
        <f t="shared" si="17"/>
        <v>0</v>
      </c>
      <c r="N117" s="16">
        <f t="shared" si="18"/>
        <v>0</v>
      </c>
      <c r="O117" s="2"/>
      <c r="P117" s="2"/>
      <c r="Q117" s="2"/>
      <c r="R117" s="2"/>
      <c r="S117" s="2"/>
    </row>
    <row r="118" spans="3:19" ht="20" customHeight="1" x14ac:dyDescent="0.3">
      <c r="C118" s="2"/>
      <c r="D118" s="2"/>
      <c r="E118" s="2"/>
      <c r="F118" s="2"/>
      <c r="G118" s="2"/>
      <c r="H118" s="2"/>
      <c r="I118" s="2"/>
      <c r="J118" s="13">
        <f t="shared" si="19"/>
        <v>0</v>
      </c>
      <c r="K118" s="2">
        <f t="shared" si="16"/>
        <v>0</v>
      </c>
      <c r="L118" s="14">
        <f t="shared" si="20"/>
        <v>0</v>
      </c>
      <c r="M118" s="16">
        <f t="shared" si="17"/>
        <v>0</v>
      </c>
      <c r="N118" s="16">
        <f t="shared" si="18"/>
        <v>0</v>
      </c>
      <c r="O118" s="2"/>
      <c r="P118" s="2"/>
      <c r="Q118" s="2"/>
      <c r="R118" s="2"/>
      <c r="S118" s="2"/>
    </row>
    <row r="119" spans="3:19" ht="20" customHeight="1" x14ac:dyDescent="0.3">
      <c r="C119" s="2"/>
      <c r="D119" s="2"/>
      <c r="E119" s="2"/>
      <c r="F119" s="2"/>
      <c r="G119" s="2"/>
      <c r="H119" s="2"/>
      <c r="I119" s="2"/>
      <c r="J119" s="13">
        <f t="shared" si="19"/>
        <v>0</v>
      </c>
      <c r="K119" s="2">
        <f t="shared" si="16"/>
        <v>0</v>
      </c>
      <c r="L119" s="14">
        <f t="shared" si="20"/>
        <v>0</v>
      </c>
      <c r="M119" s="16">
        <f t="shared" si="17"/>
        <v>0</v>
      </c>
      <c r="N119" s="16">
        <f t="shared" si="18"/>
        <v>0</v>
      </c>
      <c r="O119" s="2"/>
      <c r="P119" s="2"/>
      <c r="Q119" s="2"/>
      <c r="R119" s="2"/>
      <c r="S119" s="2"/>
    </row>
    <row r="120" spans="3:19" ht="20" customHeight="1" x14ac:dyDescent="0.3">
      <c r="C120" s="2"/>
      <c r="D120" s="2"/>
      <c r="E120" s="2"/>
      <c r="F120" s="2"/>
      <c r="G120" s="2"/>
      <c r="H120" s="2"/>
      <c r="I120" s="2"/>
      <c r="J120" s="13">
        <f t="shared" si="19"/>
        <v>0</v>
      </c>
      <c r="K120" s="2">
        <f t="shared" si="16"/>
        <v>0</v>
      </c>
      <c r="L120" s="14">
        <f t="shared" si="20"/>
        <v>0</v>
      </c>
      <c r="M120" s="16">
        <f t="shared" si="17"/>
        <v>0</v>
      </c>
      <c r="N120" s="16">
        <f t="shared" si="18"/>
        <v>0</v>
      </c>
      <c r="O120" s="2"/>
      <c r="P120" s="2"/>
      <c r="Q120" s="2"/>
      <c r="R120" s="2"/>
      <c r="S120" s="2"/>
    </row>
    <row r="121" spans="3:19" ht="20" customHeight="1" x14ac:dyDescent="0.3">
      <c r="C121" s="2"/>
      <c r="D121" s="2"/>
      <c r="E121" s="2"/>
      <c r="F121" s="2"/>
      <c r="G121" s="2"/>
      <c r="H121" s="2"/>
      <c r="I121" s="2"/>
      <c r="J121" s="13">
        <f t="shared" si="19"/>
        <v>0</v>
      </c>
      <c r="K121" s="2">
        <f t="shared" si="16"/>
        <v>0</v>
      </c>
      <c r="L121" s="14">
        <f t="shared" si="20"/>
        <v>0</v>
      </c>
      <c r="M121" s="16">
        <f t="shared" si="17"/>
        <v>0</v>
      </c>
      <c r="N121" s="16">
        <f t="shared" si="18"/>
        <v>0</v>
      </c>
      <c r="O121" s="2"/>
      <c r="P121" s="2"/>
      <c r="Q121" s="2"/>
      <c r="R121" s="2"/>
      <c r="S121" s="2"/>
    </row>
    <row r="122" spans="3:19" ht="20" customHeight="1" x14ac:dyDescent="0.3">
      <c r="C122" s="2"/>
      <c r="D122" s="2"/>
      <c r="E122" s="2"/>
      <c r="F122" s="2"/>
      <c r="G122" s="2"/>
      <c r="H122" s="2"/>
      <c r="I122" s="2"/>
      <c r="J122" s="13">
        <f t="shared" si="19"/>
        <v>0</v>
      </c>
      <c r="K122" s="2">
        <f t="shared" si="16"/>
        <v>0</v>
      </c>
      <c r="L122" s="14">
        <f t="shared" si="20"/>
        <v>0</v>
      </c>
      <c r="M122" s="16">
        <f t="shared" si="17"/>
        <v>0</v>
      </c>
      <c r="N122" s="16">
        <f t="shared" si="18"/>
        <v>0</v>
      </c>
      <c r="O122" s="2"/>
      <c r="P122" s="2"/>
      <c r="Q122" s="2"/>
      <c r="R122" s="2"/>
      <c r="S122" s="2"/>
    </row>
    <row r="123" spans="3:19" ht="20" customHeight="1" x14ac:dyDescent="0.3">
      <c r="C123" s="2"/>
      <c r="D123" s="2"/>
      <c r="E123" s="2"/>
      <c r="F123" s="2"/>
      <c r="G123" s="2"/>
      <c r="H123" s="2"/>
      <c r="I123" s="2"/>
      <c r="J123" s="13">
        <f t="shared" si="19"/>
        <v>0</v>
      </c>
      <c r="K123" s="2">
        <f t="shared" si="16"/>
        <v>0</v>
      </c>
      <c r="L123" s="14">
        <f t="shared" si="20"/>
        <v>0</v>
      </c>
      <c r="M123" s="16">
        <f t="shared" si="17"/>
        <v>0</v>
      </c>
      <c r="N123" s="16">
        <f t="shared" si="18"/>
        <v>0</v>
      </c>
      <c r="O123" s="2"/>
      <c r="P123" s="2"/>
      <c r="Q123" s="2"/>
      <c r="R123" s="2"/>
      <c r="S123" s="2"/>
    </row>
    <row r="124" spans="3:19" ht="20" customHeight="1" x14ac:dyDescent="0.3">
      <c r="C124" s="2"/>
      <c r="D124" s="2"/>
      <c r="E124" s="2"/>
      <c r="F124" s="2"/>
      <c r="G124" s="2"/>
      <c r="H124" s="2"/>
      <c r="I124" s="2"/>
      <c r="J124" s="13">
        <f t="shared" si="19"/>
        <v>0</v>
      </c>
      <c r="K124" s="2">
        <f t="shared" si="16"/>
        <v>0</v>
      </c>
      <c r="L124" s="14">
        <f t="shared" si="20"/>
        <v>0</v>
      </c>
      <c r="M124" s="16">
        <f t="shared" si="17"/>
        <v>0</v>
      </c>
      <c r="N124" s="16">
        <f t="shared" si="18"/>
        <v>0</v>
      </c>
      <c r="O124" s="2"/>
      <c r="P124" s="2"/>
      <c r="Q124" s="2"/>
      <c r="R124" s="2"/>
      <c r="S124" s="2"/>
    </row>
    <row r="125" spans="3:19" ht="20" customHeight="1" x14ac:dyDescent="0.3">
      <c r="C125" s="2"/>
      <c r="D125" s="2"/>
      <c r="E125" s="2"/>
      <c r="F125" s="2"/>
      <c r="G125" s="2"/>
      <c r="H125" s="2"/>
      <c r="I125" s="2"/>
      <c r="J125" s="13">
        <f t="shared" si="19"/>
        <v>0</v>
      </c>
      <c r="K125" s="2">
        <f t="shared" si="16"/>
        <v>0</v>
      </c>
      <c r="L125" s="14">
        <f t="shared" si="20"/>
        <v>0</v>
      </c>
      <c r="M125" s="16">
        <f t="shared" si="17"/>
        <v>0</v>
      </c>
      <c r="N125" s="16">
        <f t="shared" si="18"/>
        <v>0</v>
      </c>
      <c r="O125" s="2"/>
      <c r="P125" s="2"/>
      <c r="Q125" s="2"/>
      <c r="R125" s="2"/>
      <c r="S125" s="2"/>
    </row>
    <row r="126" spans="3:19" ht="20" customHeight="1" x14ac:dyDescent="0.3">
      <c r="C126" s="2"/>
      <c r="D126" s="2"/>
      <c r="E126" s="2"/>
      <c r="F126" s="2"/>
      <c r="G126" s="2"/>
      <c r="H126" s="2"/>
      <c r="I126" s="2"/>
      <c r="J126" s="13">
        <f t="shared" si="19"/>
        <v>0</v>
      </c>
      <c r="K126" s="2">
        <f t="shared" si="16"/>
        <v>0</v>
      </c>
      <c r="L126" s="14">
        <f t="shared" si="20"/>
        <v>0</v>
      </c>
      <c r="M126" s="16">
        <f t="shared" si="17"/>
        <v>0</v>
      </c>
      <c r="N126" s="16">
        <f t="shared" si="18"/>
        <v>0</v>
      </c>
      <c r="O126" s="2"/>
      <c r="P126" s="2"/>
      <c r="Q126" s="2"/>
      <c r="R126" s="2"/>
      <c r="S126" s="2"/>
    </row>
    <row r="127" spans="3:19" ht="20" customHeight="1" x14ac:dyDescent="0.3">
      <c r="C127" s="2"/>
      <c r="D127" s="2"/>
      <c r="E127" s="2"/>
      <c r="F127" s="2"/>
      <c r="G127" s="2"/>
      <c r="H127" s="2"/>
      <c r="I127" s="2"/>
      <c r="J127" s="13">
        <f t="shared" si="19"/>
        <v>0</v>
      </c>
      <c r="K127" s="2">
        <f t="shared" si="16"/>
        <v>0</v>
      </c>
      <c r="L127" s="14">
        <f t="shared" si="20"/>
        <v>0</v>
      </c>
      <c r="M127" s="16">
        <f t="shared" si="17"/>
        <v>0</v>
      </c>
      <c r="N127" s="16">
        <f t="shared" si="18"/>
        <v>0</v>
      </c>
      <c r="O127" s="2"/>
      <c r="P127" s="2"/>
      <c r="Q127" s="2"/>
      <c r="R127" s="2"/>
      <c r="S127" s="2"/>
    </row>
    <row r="128" spans="3:19" ht="20" customHeight="1" x14ac:dyDescent="0.3">
      <c r="C128" s="2"/>
      <c r="D128" s="2"/>
      <c r="E128" s="2"/>
      <c r="F128" s="2"/>
      <c r="G128" s="2"/>
      <c r="H128" s="2"/>
      <c r="I128" s="2"/>
      <c r="J128" s="13">
        <f t="shared" si="19"/>
        <v>0</v>
      </c>
      <c r="K128" s="2">
        <f t="shared" si="16"/>
        <v>0</v>
      </c>
      <c r="L128" s="14">
        <f t="shared" si="20"/>
        <v>0</v>
      </c>
      <c r="M128" s="16">
        <f t="shared" si="17"/>
        <v>0</v>
      </c>
      <c r="N128" s="16">
        <f t="shared" si="18"/>
        <v>0</v>
      </c>
      <c r="O128" s="2"/>
      <c r="P128" s="2"/>
      <c r="Q128" s="2"/>
      <c r="R128" s="2"/>
      <c r="S128" s="2"/>
    </row>
    <row r="129" spans="3:19" ht="20" customHeight="1" x14ac:dyDescent="0.3">
      <c r="C129" s="2"/>
      <c r="D129" s="2"/>
      <c r="E129" s="2"/>
      <c r="F129" s="2"/>
      <c r="G129" s="2"/>
      <c r="H129" s="2"/>
      <c r="I129" s="2"/>
      <c r="J129" s="13">
        <f t="shared" si="19"/>
        <v>0</v>
      </c>
      <c r="K129" s="2">
        <f t="shared" si="16"/>
        <v>0</v>
      </c>
      <c r="L129" s="14">
        <f t="shared" si="20"/>
        <v>0</v>
      </c>
      <c r="M129" s="16">
        <f t="shared" si="17"/>
        <v>0</v>
      </c>
      <c r="N129" s="16">
        <f t="shared" si="18"/>
        <v>0</v>
      </c>
      <c r="O129" s="2"/>
      <c r="P129" s="2"/>
      <c r="Q129" s="2"/>
      <c r="R129" s="2"/>
      <c r="S129" s="2"/>
    </row>
    <row r="130" spans="3:19" ht="20" customHeight="1" x14ac:dyDescent="0.3">
      <c r="C130" s="2"/>
      <c r="D130" s="2"/>
      <c r="E130" s="2"/>
      <c r="F130" s="2"/>
      <c r="G130" s="2"/>
      <c r="H130" s="2"/>
      <c r="I130" s="2"/>
      <c r="J130" s="13">
        <f t="shared" si="19"/>
        <v>0</v>
      </c>
      <c r="K130" s="2">
        <f t="shared" si="16"/>
        <v>0</v>
      </c>
      <c r="L130" s="14">
        <f t="shared" si="20"/>
        <v>0</v>
      </c>
      <c r="M130" s="16">
        <f t="shared" si="17"/>
        <v>0</v>
      </c>
      <c r="N130" s="16">
        <f t="shared" si="18"/>
        <v>0</v>
      </c>
      <c r="O130" s="2"/>
      <c r="P130" s="2"/>
      <c r="Q130" s="2"/>
      <c r="R130" s="2"/>
      <c r="S130" s="2"/>
    </row>
    <row r="131" spans="3:19" ht="20" customHeight="1" x14ac:dyDescent="0.3">
      <c r="C131" s="2"/>
      <c r="D131" s="2"/>
      <c r="E131" s="2"/>
      <c r="F131" s="2"/>
      <c r="G131" s="2"/>
      <c r="H131" s="2"/>
      <c r="I131" s="2"/>
      <c r="J131" s="13">
        <f t="shared" si="19"/>
        <v>0</v>
      </c>
      <c r="K131" s="2">
        <f t="shared" si="16"/>
        <v>0</v>
      </c>
      <c r="L131" s="14">
        <f t="shared" si="20"/>
        <v>0</v>
      </c>
      <c r="M131" s="16">
        <f t="shared" si="17"/>
        <v>0</v>
      </c>
      <c r="N131" s="16">
        <f t="shared" si="18"/>
        <v>0</v>
      </c>
      <c r="O131" s="2"/>
      <c r="P131" s="2"/>
      <c r="Q131" s="2"/>
      <c r="R131" s="2"/>
      <c r="S131" s="2"/>
    </row>
    <row r="132" spans="3:19" ht="20" customHeight="1" x14ac:dyDescent="0.3">
      <c r="C132" s="2"/>
      <c r="D132" s="2"/>
      <c r="E132" s="2"/>
      <c r="F132" s="2"/>
      <c r="G132" s="2"/>
      <c r="H132" s="2"/>
      <c r="I132" s="2"/>
      <c r="J132" s="13">
        <f t="shared" si="19"/>
        <v>0</v>
      </c>
      <c r="K132" s="2">
        <f t="shared" si="16"/>
        <v>0</v>
      </c>
      <c r="L132" s="14">
        <f t="shared" si="20"/>
        <v>0</v>
      </c>
      <c r="M132" s="16">
        <f t="shared" si="17"/>
        <v>0</v>
      </c>
      <c r="N132" s="16">
        <f t="shared" si="18"/>
        <v>0</v>
      </c>
      <c r="O132" s="2"/>
      <c r="P132" s="2"/>
      <c r="Q132" s="2"/>
      <c r="R132" s="2"/>
      <c r="S132" s="2"/>
    </row>
    <row r="133" spans="3:19" ht="20" customHeight="1" x14ac:dyDescent="0.3">
      <c r="C133" s="2"/>
      <c r="D133" s="2"/>
      <c r="E133" s="2"/>
      <c r="F133" s="2"/>
      <c r="G133" s="2"/>
      <c r="H133" s="2"/>
      <c r="I133" s="2"/>
      <c r="J133" s="13">
        <f t="shared" si="19"/>
        <v>0</v>
      </c>
      <c r="K133" s="2">
        <f t="shared" si="16"/>
        <v>0</v>
      </c>
      <c r="L133" s="14">
        <f t="shared" si="20"/>
        <v>0</v>
      </c>
      <c r="M133" s="16">
        <f t="shared" si="17"/>
        <v>0</v>
      </c>
      <c r="N133" s="16">
        <f t="shared" si="18"/>
        <v>0</v>
      </c>
      <c r="O133" s="2"/>
      <c r="P133" s="2"/>
      <c r="Q133" s="2"/>
      <c r="R133" s="2"/>
      <c r="S133" s="2"/>
    </row>
    <row r="134" spans="3:19" ht="20" customHeight="1" x14ac:dyDescent="0.3">
      <c r="C134" s="2"/>
      <c r="D134" s="2"/>
      <c r="E134" s="2"/>
      <c r="F134" s="2"/>
      <c r="G134" s="2"/>
      <c r="H134" s="2"/>
      <c r="I134" s="2"/>
      <c r="J134" s="13">
        <f t="shared" si="19"/>
        <v>0</v>
      </c>
      <c r="K134" s="2">
        <f t="shared" si="16"/>
        <v>0</v>
      </c>
      <c r="L134" s="14">
        <f t="shared" si="20"/>
        <v>0</v>
      </c>
      <c r="M134" s="16">
        <f t="shared" si="17"/>
        <v>0</v>
      </c>
      <c r="N134" s="16">
        <f t="shared" si="18"/>
        <v>0</v>
      </c>
      <c r="O134" s="2"/>
      <c r="P134" s="2"/>
      <c r="Q134" s="2"/>
      <c r="R134" s="2"/>
      <c r="S134" s="2"/>
    </row>
    <row r="135" spans="3:19" ht="20" customHeight="1" x14ac:dyDescent="0.3">
      <c r="C135" s="2"/>
      <c r="D135" s="2"/>
      <c r="E135" s="2"/>
      <c r="F135" s="2"/>
      <c r="G135" s="2"/>
      <c r="H135" s="2"/>
      <c r="I135" s="2"/>
      <c r="J135" s="13">
        <f t="shared" si="19"/>
        <v>0</v>
      </c>
      <c r="K135" s="2">
        <f t="shared" si="16"/>
        <v>0</v>
      </c>
      <c r="L135" s="14">
        <f t="shared" si="20"/>
        <v>0</v>
      </c>
      <c r="M135" s="16">
        <f t="shared" si="17"/>
        <v>0</v>
      </c>
      <c r="N135" s="16">
        <f t="shared" si="18"/>
        <v>0</v>
      </c>
      <c r="O135" s="2"/>
      <c r="P135" s="2"/>
      <c r="Q135" s="2"/>
      <c r="R135" s="2"/>
      <c r="S135" s="2"/>
    </row>
    <row r="136" spans="3:19" ht="20" customHeight="1" x14ac:dyDescent="0.3">
      <c r="C136" s="2"/>
      <c r="D136" s="2"/>
      <c r="E136" s="2"/>
      <c r="F136" s="2"/>
      <c r="G136" s="2"/>
      <c r="H136" s="2"/>
      <c r="I136" s="2"/>
      <c r="J136" s="13">
        <f t="shared" si="19"/>
        <v>0</v>
      </c>
      <c r="K136" s="2">
        <f t="shared" si="16"/>
        <v>0</v>
      </c>
      <c r="L136" s="14">
        <f t="shared" si="20"/>
        <v>0</v>
      </c>
      <c r="M136" s="16">
        <f t="shared" si="17"/>
        <v>0</v>
      </c>
      <c r="N136" s="16">
        <f t="shared" si="18"/>
        <v>0</v>
      </c>
      <c r="O136" s="2"/>
      <c r="P136" s="2"/>
      <c r="Q136" s="2"/>
      <c r="R136" s="2"/>
      <c r="S136" s="2"/>
    </row>
    <row r="137" spans="3:19" ht="20" customHeight="1" x14ac:dyDescent="0.3">
      <c r="C137" s="2"/>
      <c r="D137" s="2"/>
      <c r="E137" s="2"/>
      <c r="F137" s="2"/>
      <c r="G137" s="2"/>
      <c r="H137" s="2"/>
      <c r="I137" s="2"/>
      <c r="J137" s="13">
        <f t="shared" si="19"/>
        <v>0</v>
      </c>
      <c r="K137" s="2">
        <f t="shared" si="16"/>
        <v>0</v>
      </c>
      <c r="L137" s="14">
        <f t="shared" si="20"/>
        <v>0</v>
      </c>
      <c r="M137" s="16">
        <f t="shared" si="17"/>
        <v>0</v>
      </c>
      <c r="N137" s="16">
        <f t="shared" si="18"/>
        <v>0</v>
      </c>
      <c r="O137" s="2"/>
      <c r="P137" s="2"/>
      <c r="Q137" s="2"/>
      <c r="R137" s="2"/>
      <c r="S137" s="2"/>
    </row>
    <row r="138" spans="3:19" ht="20" customHeight="1" x14ac:dyDescent="0.3">
      <c r="C138" s="2"/>
      <c r="D138" s="2"/>
      <c r="E138" s="2"/>
      <c r="F138" s="2"/>
      <c r="G138" s="2"/>
      <c r="H138" s="2"/>
      <c r="I138" s="2"/>
      <c r="J138" s="13">
        <f t="shared" si="19"/>
        <v>0</v>
      </c>
      <c r="K138" s="2">
        <f t="shared" si="16"/>
        <v>0</v>
      </c>
      <c r="L138" s="14">
        <f t="shared" si="20"/>
        <v>0</v>
      </c>
      <c r="M138" s="16">
        <f t="shared" si="17"/>
        <v>0</v>
      </c>
      <c r="N138" s="16">
        <f t="shared" si="18"/>
        <v>0</v>
      </c>
      <c r="O138" s="2"/>
      <c r="P138" s="2"/>
      <c r="Q138" s="2"/>
      <c r="R138" s="2"/>
      <c r="S138" s="2"/>
    </row>
    <row r="139" spans="3:19" ht="20" customHeight="1" x14ac:dyDescent="0.3">
      <c r="C139" s="2"/>
      <c r="D139" s="2"/>
      <c r="E139" s="2"/>
      <c r="F139" s="2"/>
      <c r="G139" s="2"/>
      <c r="H139" s="2"/>
      <c r="I139" s="2"/>
      <c r="J139" s="13">
        <f t="shared" si="19"/>
        <v>0</v>
      </c>
      <c r="K139" s="2">
        <f t="shared" si="16"/>
        <v>0</v>
      </c>
      <c r="L139" s="14">
        <f t="shared" si="20"/>
        <v>0</v>
      </c>
      <c r="M139" s="16">
        <f t="shared" si="17"/>
        <v>0</v>
      </c>
      <c r="N139" s="16">
        <f t="shared" si="18"/>
        <v>0</v>
      </c>
      <c r="O139" s="2"/>
      <c r="P139" s="2"/>
      <c r="Q139" s="2"/>
      <c r="R139" s="2"/>
      <c r="S13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65FF-18F7-42BB-AF2F-3CB626A36E0D}">
  <dimension ref="D5:S67"/>
  <sheetViews>
    <sheetView workbookViewId="0">
      <selection activeCell="R5" sqref="R5"/>
    </sheetView>
  </sheetViews>
  <sheetFormatPr defaultRowHeight="14" x14ac:dyDescent="0.3"/>
  <sheetData>
    <row r="5" spans="4:19" x14ac:dyDescent="0.3">
      <c r="F5" s="19" t="s">
        <v>90</v>
      </c>
      <c r="G5" s="19" t="s">
        <v>91</v>
      </c>
      <c r="J5" s="19" t="s">
        <v>92</v>
      </c>
      <c r="M5" s="19" t="s">
        <v>93</v>
      </c>
    </row>
    <row r="6" spans="4:19" x14ac:dyDescent="0.3">
      <c r="F6" s="19" t="s">
        <v>94</v>
      </c>
      <c r="G6" s="19" t="s">
        <v>94</v>
      </c>
      <c r="H6" s="19" t="s">
        <v>95</v>
      </c>
      <c r="I6" s="19" t="s">
        <v>96</v>
      </c>
      <c r="J6" s="19" t="s">
        <v>97</v>
      </c>
      <c r="K6" s="19" t="s">
        <v>95</v>
      </c>
      <c r="L6" s="19" t="s">
        <v>96</v>
      </c>
      <c r="M6" s="19" t="s">
        <v>95</v>
      </c>
      <c r="N6" s="19" t="s">
        <v>96</v>
      </c>
      <c r="Q6">
        <v>1</v>
      </c>
    </row>
    <row r="7" spans="4:19" x14ac:dyDescent="0.3">
      <c r="D7" s="19" t="s">
        <v>98</v>
      </c>
      <c r="E7" s="19" t="s">
        <v>88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3">
      <c r="E8" s="19" t="s">
        <v>87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3">
      <c r="D10" s="19" t="s">
        <v>99</v>
      </c>
      <c r="E10" s="19" t="s">
        <v>88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>
        <f>R10/R7</f>
        <v>1.3204349514563105</v>
      </c>
    </row>
    <row r="11" spans="4:19" x14ac:dyDescent="0.3">
      <c r="E11" s="19" t="s">
        <v>87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0.90000000000000013</v>
      </c>
      <c r="Q11">
        <f>Q6*$O$11</f>
        <v>0.90000000000000013</v>
      </c>
    </row>
    <row r="12" spans="4:19" x14ac:dyDescent="0.3">
      <c r="E12" s="19" t="s">
        <v>100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-0.49999999999999994</v>
      </c>
    </row>
    <row r="13" spans="4:19" x14ac:dyDescent="0.3">
      <c r="E13" s="19" t="s">
        <v>104</v>
      </c>
      <c r="F13">
        <v>-15</v>
      </c>
      <c r="G13">
        <v>-20</v>
      </c>
      <c r="H13">
        <v>-30</v>
      </c>
      <c r="I13">
        <v>-30</v>
      </c>
      <c r="J13">
        <v>-15</v>
      </c>
      <c r="K13">
        <v>-30</v>
      </c>
      <c r="L13">
        <v>-30</v>
      </c>
      <c r="M13">
        <v>-15</v>
      </c>
      <c r="N13">
        <v>-15</v>
      </c>
      <c r="O13">
        <f>SUM(F13:N13)</f>
        <v>-200</v>
      </c>
      <c r="Q13">
        <v>2</v>
      </c>
    </row>
    <row r="14" spans="4:19" x14ac:dyDescent="0.3">
      <c r="Q14">
        <f>Q13*$O$7</f>
        <v>12.5</v>
      </c>
      <c r="R14">
        <f>Q14*(1+(Q15*0.02))</f>
        <v>13.25</v>
      </c>
    </row>
    <row r="15" spans="4:19" x14ac:dyDescent="0.3">
      <c r="Q15">
        <f>Q13*$O$8</f>
        <v>3</v>
      </c>
    </row>
    <row r="17" spans="17:19" x14ac:dyDescent="0.3">
      <c r="Q17">
        <f>Q13*$O$10</f>
        <v>16.7</v>
      </c>
      <c r="R17">
        <f>Q17*(1+(Q18*0.02))</f>
        <v>17.301200000000001</v>
      </c>
      <c r="S17">
        <f>R17/R14</f>
        <v>1.3057509433962264</v>
      </c>
    </row>
    <row r="18" spans="17:19" x14ac:dyDescent="0.3">
      <c r="Q18">
        <f>Q13*$O$11</f>
        <v>1.8000000000000003</v>
      </c>
    </row>
    <row r="20" spans="17:19" x14ac:dyDescent="0.3">
      <c r="Q20">
        <v>5</v>
      </c>
    </row>
    <row r="21" spans="17:19" x14ac:dyDescent="0.3">
      <c r="Q21">
        <f>Q20*$O$7</f>
        <v>31.25</v>
      </c>
      <c r="R21">
        <f>Q21*(1+(Q22*0.02))</f>
        <v>35.9375</v>
      </c>
    </row>
    <row r="22" spans="17:19" x14ac:dyDescent="0.3">
      <c r="Q22">
        <f>Q20*$O$8</f>
        <v>7.5</v>
      </c>
    </row>
    <row r="24" spans="17:19" x14ac:dyDescent="0.3">
      <c r="Q24">
        <f>Q20*$O$10</f>
        <v>41.75</v>
      </c>
      <c r="R24">
        <f>Q24*(1+(Q25*0.02))</f>
        <v>45.5075</v>
      </c>
      <c r="S24">
        <f>R24/R21</f>
        <v>1.266295652173913</v>
      </c>
    </row>
    <row r="25" spans="17:19" x14ac:dyDescent="0.3">
      <c r="Q25">
        <f>Q20*$O$11</f>
        <v>4.5000000000000009</v>
      </c>
    </row>
    <row r="27" spans="17:19" x14ac:dyDescent="0.3">
      <c r="Q27">
        <v>10</v>
      </c>
    </row>
    <row r="28" spans="17:19" x14ac:dyDescent="0.3">
      <c r="Q28">
        <f>Q27*$O$7</f>
        <v>62.5</v>
      </c>
      <c r="R28">
        <f>Q28*(1+(Q29*0.02))</f>
        <v>81.25</v>
      </c>
    </row>
    <row r="29" spans="17:19" x14ac:dyDescent="0.3">
      <c r="Q29">
        <f>Q27*$O$8</f>
        <v>15</v>
      </c>
    </row>
    <row r="31" spans="17:19" x14ac:dyDescent="0.3">
      <c r="Q31">
        <f>Q27*$O$10</f>
        <v>83.5</v>
      </c>
      <c r="R31">
        <f>Q31*(1+(Q32*0.02))</f>
        <v>98.530000000000015</v>
      </c>
      <c r="S31">
        <f>R31/R28</f>
        <v>1.2126769230769232</v>
      </c>
    </row>
    <row r="32" spans="17:19" x14ac:dyDescent="0.3">
      <c r="Q32">
        <f>Q27*$O$11</f>
        <v>9.0000000000000018</v>
      </c>
    </row>
    <row r="34" spans="17:19" x14ac:dyDescent="0.3">
      <c r="Q34">
        <v>15</v>
      </c>
    </row>
    <row r="35" spans="17:19" x14ac:dyDescent="0.3">
      <c r="Q35">
        <f>Q34*$O$7</f>
        <v>93.75</v>
      </c>
      <c r="R35">
        <f>Q35*(1+(Q36*0.02))</f>
        <v>135.9375</v>
      </c>
    </row>
    <row r="36" spans="17:19" x14ac:dyDescent="0.3">
      <c r="Q36">
        <f>Q34*$O$8</f>
        <v>22.5</v>
      </c>
    </row>
    <row r="38" spans="17:19" x14ac:dyDescent="0.3">
      <c r="Q38">
        <f>Q34*$O$10</f>
        <v>125.25</v>
      </c>
      <c r="R38">
        <f>Q38*(1+(Q39*0.02))</f>
        <v>159.0675</v>
      </c>
      <c r="S38">
        <f>R38/R35</f>
        <v>1.1701517241379309</v>
      </c>
    </row>
    <row r="39" spans="17:19" x14ac:dyDescent="0.3">
      <c r="Q39">
        <f>Q34*$O$11</f>
        <v>13.500000000000002</v>
      </c>
    </row>
    <row r="41" spans="17:19" x14ac:dyDescent="0.3">
      <c r="Q41">
        <v>20</v>
      </c>
    </row>
    <row r="42" spans="17:19" x14ac:dyDescent="0.3">
      <c r="Q42">
        <f>Q41*$O$7</f>
        <v>125</v>
      </c>
      <c r="R42">
        <f>Q42*(1+(Q43*0.02))</f>
        <v>200</v>
      </c>
    </row>
    <row r="43" spans="17:19" x14ac:dyDescent="0.3">
      <c r="Q43">
        <f>Q41*$O$8</f>
        <v>30</v>
      </c>
    </row>
    <row r="45" spans="17:19" x14ac:dyDescent="0.3">
      <c r="Q45">
        <f>Q41*$O$10</f>
        <v>167</v>
      </c>
      <c r="R45">
        <f>Q45*(1+(Q46*0.02))</f>
        <v>227.12</v>
      </c>
      <c r="S45">
        <f>R45/R42</f>
        <v>1.1355999999999999</v>
      </c>
    </row>
    <row r="46" spans="17:19" x14ac:dyDescent="0.3">
      <c r="Q46">
        <f>Q41*$O$11</f>
        <v>18.000000000000004</v>
      </c>
    </row>
    <row r="48" spans="17:19" x14ac:dyDescent="0.3">
      <c r="Q48">
        <v>25</v>
      </c>
    </row>
    <row r="49" spans="17:19" x14ac:dyDescent="0.3">
      <c r="Q49">
        <f>Q48*$O$7</f>
        <v>156.25</v>
      </c>
      <c r="R49">
        <f>Q49*(1+(Q50*0.02))</f>
        <v>273.4375</v>
      </c>
    </row>
    <row r="50" spans="17:19" x14ac:dyDescent="0.3">
      <c r="Q50">
        <f>Q48*$O$8</f>
        <v>37.5</v>
      </c>
    </row>
    <row r="52" spans="17:19" x14ac:dyDescent="0.3">
      <c r="Q52">
        <f>Q48*$O$10</f>
        <v>208.75</v>
      </c>
      <c r="R52">
        <f>Q52*(1+(Q53*0.02))</f>
        <v>302.68750000000006</v>
      </c>
      <c r="S52">
        <f>R52/R49</f>
        <v>1.1069714285714287</v>
      </c>
    </row>
    <row r="53" spans="17:19" x14ac:dyDescent="0.3">
      <c r="Q53">
        <f>Q48*$O$11</f>
        <v>22.500000000000004</v>
      </c>
    </row>
    <row r="55" spans="17:19" x14ac:dyDescent="0.3">
      <c r="Q55">
        <v>35</v>
      </c>
    </row>
    <row r="56" spans="17:19" x14ac:dyDescent="0.3">
      <c r="Q56">
        <f>Q55*$O$7</f>
        <v>218.75</v>
      </c>
      <c r="R56">
        <f>Q56*(1+(Q57*0.02))</f>
        <v>448.43749999999994</v>
      </c>
    </row>
    <row r="57" spans="17:19" x14ac:dyDescent="0.3">
      <c r="Q57">
        <f>Q55*$O$8</f>
        <v>52.5</v>
      </c>
    </row>
    <row r="59" spans="17:19" x14ac:dyDescent="0.3">
      <c r="Q59">
        <f>Q55*$O$10</f>
        <v>292.25</v>
      </c>
      <c r="R59">
        <f>Q59*(1+(Q60*0.02))</f>
        <v>476.36750000000001</v>
      </c>
      <c r="S59">
        <f>R59/R56</f>
        <v>1.0622829268292684</v>
      </c>
    </row>
    <row r="60" spans="17:19" x14ac:dyDescent="0.3">
      <c r="Q60">
        <f>Q55*$O$11</f>
        <v>31.500000000000004</v>
      </c>
    </row>
    <row r="62" spans="17:19" x14ac:dyDescent="0.3">
      <c r="Q62">
        <v>40</v>
      </c>
    </row>
    <row r="63" spans="17:19" x14ac:dyDescent="0.3">
      <c r="Q63">
        <f>Q62*$O$7</f>
        <v>250</v>
      </c>
      <c r="R63">
        <f>Q63*(1+(Q64*0.02))</f>
        <v>550</v>
      </c>
    </row>
    <row r="64" spans="17:19" x14ac:dyDescent="0.3">
      <c r="Q64">
        <f>Q62*$O$8</f>
        <v>60</v>
      </c>
    </row>
    <row r="66" spans="17:19" x14ac:dyDescent="0.3">
      <c r="Q66">
        <f>Q62*$O$10</f>
        <v>334</v>
      </c>
      <c r="R66">
        <f>Q66*(1+(Q67*0.02))</f>
        <v>574.48</v>
      </c>
      <c r="S66">
        <f>R66/R63</f>
        <v>1.0445090909090908</v>
      </c>
    </row>
    <row r="67" spans="17:19" x14ac:dyDescent="0.3">
      <c r="Q67">
        <f>Q62*$O$11</f>
        <v>36.000000000000007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2025-10-13T16:08:41Z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2052-12.1.0.22529</vt:lpwstr>
  </property>
</Properties>
</file>