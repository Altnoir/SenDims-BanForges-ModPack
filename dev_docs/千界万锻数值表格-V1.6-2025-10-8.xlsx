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PCL\.minecraft\versions\SenDims_BanForges\dev_docs\"/>
    </mc:Choice>
  </mc:AlternateContent>
  <xr:revisionPtr revIDLastSave="0" documentId="13_ncr:1_{37BD142D-8FC0-47CA-A5BF-A3BB7BD2FE79}" xr6:coauthVersionLast="47" xr6:coauthVersionMax="47" xr10:uidLastSave="{00000000-0000-0000-0000-000000000000}"/>
  <bookViews>
    <workbookView xWindow="3950" yWindow="2820" windowWidth="19200" windowHeight="11260" activeTab="2" xr2:uid="{00000000-000D-0000-FFFF-FFFF00000000}"/>
  </bookViews>
  <sheets>
    <sheet name="普通攻击" sheetId="1" r:id="rId1"/>
    <sheet name="技能" sheetId="2" r:id="rId2"/>
    <sheet name="数值分配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1" i="3" l="1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D48" i="1"/>
  <c r="E48" i="1" s="1"/>
  <c r="M47" i="1"/>
  <c r="D47" i="1"/>
  <c r="E47" i="1" s="1"/>
  <c r="M46" i="1"/>
  <c r="D46" i="1"/>
  <c r="E46" i="1" s="1"/>
  <c r="N45" i="1"/>
  <c r="M45" i="1"/>
  <c r="D45" i="1"/>
  <c r="E45" i="1" s="1"/>
  <c r="P6" i="3"/>
  <c r="Q6" i="3" s="1"/>
  <c r="R6" i="3" s="1"/>
  <c r="L34" i="1"/>
  <c r="M34" i="1" s="1"/>
  <c r="E3" i="1"/>
  <c r="D23" i="1" s="1"/>
  <c r="AA7" i="3" l="1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F36" i="1" l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<sst xmlns="http://schemas.openxmlformats.org/spreadsheetml/2006/main" count="211" uniqueCount="92">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</sst>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"/>
  <sheetViews>
    <sheetView topLeftCell="A19" workbookViewId="0">
      <selection activeCell="Q46" sqref="Q46"/>
    </sheetView>
  </sheetViews>
  <sheetFormatPr defaultColWidth="9" defaultRowHeight="14" x14ac:dyDescent="0.25"/>
  <cols>
    <col min="5" max="5" width="10.90625" customWidth="1"/>
  </cols>
  <sheetData>
    <row r="1" spans="1:23" x14ac:dyDescent="0.25">
      <c r="A1" s="42" t="s">
        <v>0</v>
      </c>
      <c r="B1" s="42"/>
      <c r="C1" s="42"/>
      <c r="D1" s="42"/>
      <c r="E1" s="42"/>
      <c r="G1" s="42" t="s">
        <v>42</v>
      </c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</row>
    <row r="2" spans="1:2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25">
      <c r="A3" s="1">
        <v>20</v>
      </c>
      <c r="B3" s="1">
        <v>0</v>
      </c>
      <c r="C3" s="1">
        <v>0</v>
      </c>
      <c r="D3" s="1">
        <v>0</v>
      </c>
      <c r="E3" s="9">
        <f>A3+B3+(C3/2)+D3</f>
        <v>20</v>
      </c>
      <c r="I3">
        <v>0.5</v>
      </c>
    </row>
    <row r="5" spans="1:23" x14ac:dyDescent="0.25">
      <c r="A5" s="1" t="s">
        <v>6</v>
      </c>
      <c r="B5" s="1" t="s">
        <v>7</v>
      </c>
      <c r="C5" s="1" t="s">
        <v>8</v>
      </c>
    </row>
    <row r="6" spans="1:23" x14ac:dyDescent="0.25">
      <c r="A6" s="1">
        <v>0</v>
      </c>
      <c r="B6" s="2">
        <v>0.05</v>
      </c>
      <c r="C6" s="2">
        <v>1.5</v>
      </c>
    </row>
    <row r="8" spans="1:23" x14ac:dyDescent="0.25">
      <c r="A8" s="36" t="s">
        <v>9</v>
      </c>
      <c r="B8" s="37"/>
      <c r="C8" s="37"/>
      <c r="D8" s="37"/>
      <c r="E8" s="37"/>
      <c r="F8" s="38"/>
      <c r="G8" s="4"/>
      <c r="I8" s="36" t="s">
        <v>10</v>
      </c>
      <c r="J8" s="37"/>
      <c r="K8" s="37"/>
      <c r="L8" s="37"/>
      <c r="M8" s="37"/>
      <c r="N8" s="38"/>
      <c r="O8" s="1"/>
      <c r="Q8" s="36" t="s">
        <v>11</v>
      </c>
      <c r="R8" s="37"/>
      <c r="S8" s="37"/>
      <c r="T8" s="37"/>
      <c r="U8" s="37"/>
      <c r="V8" s="38"/>
    </row>
    <row r="9" spans="1:23" x14ac:dyDescent="0.2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2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9.0200000000000014</v>
      </c>
      <c r="E10" s="9">
        <f t="shared" ref="E10:E15" si="0">D10*B10</f>
        <v>9.0200000000000014</v>
      </c>
      <c r="F10" s="39">
        <f>D10+D11+D12+D13</f>
        <v>36.520000000000003</v>
      </c>
      <c r="G10" s="46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9.0200000000000014</v>
      </c>
      <c r="M10" s="9">
        <f t="shared" ref="M10:M16" si="2">L10*J10</f>
        <v>9.0200000000000014</v>
      </c>
      <c r="N10" s="39">
        <f>L10+L11+L12+L13+L14+L15+L16</f>
        <v>50.338000000000008</v>
      </c>
      <c r="O10" s="46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9.0200000000000014</v>
      </c>
      <c r="U10" s="1">
        <f>T10*R10</f>
        <v>9.0200000000000014</v>
      </c>
      <c r="V10" s="43">
        <f>T10+T11+T12</f>
        <v>34.840000000000003</v>
      </c>
    </row>
    <row r="11" spans="1:23" x14ac:dyDescent="0.2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9.0200000000000014</v>
      </c>
      <c r="E11" s="9">
        <f t="shared" si="0"/>
        <v>9.0200000000000014</v>
      </c>
      <c r="F11" s="40"/>
      <c r="G11" s="46"/>
      <c r="I11" s="1" t="s">
        <v>19</v>
      </c>
      <c r="J11" s="1">
        <v>1</v>
      </c>
      <c r="K11" s="1">
        <v>0.44</v>
      </c>
      <c r="L11" s="1">
        <f t="shared" si="1"/>
        <v>9.0200000000000014</v>
      </c>
      <c r="M11" s="9">
        <f t="shared" si="2"/>
        <v>9.0200000000000014</v>
      </c>
      <c r="N11" s="40"/>
      <c r="O11" s="46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9.0200000000000014</v>
      </c>
      <c r="U11" s="1">
        <f>T11*R11</f>
        <v>9.0200000000000014</v>
      </c>
      <c r="V11" s="44"/>
    </row>
    <row r="12" spans="1:23" x14ac:dyDescent="0.2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9.24</v>
      </c>
      <c r="E12" s="9">
        <f t="shared" si="0"/>
        <v>18.48</v>
      </c>
      <c r="F12" s="40"/>
      <c r="G12" s="46"/>
      <c r="I12" s="1" t="s">
        <v>20</v>
      </c>
      <c r="J12" s="1">
        <v>2</v>
      </c>
      <c r="K12" s="1">
        <v>0.44</v>
      </c>
      <c r="L12" s="1">
        <f t="shared" si="1"/>
        <v>9.24</v>
      </c>
      <c r="M12" s="9">
        <f t="shared" si="2"/>
        <v>18.48</v>
      </c>
      <c r="N12" s="40"/>
      <c r="O12" s="46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16.8</v>
      </c>
      <c r="U12" s="1">
        <f>T12*R12</f>
        <v>33.6</v>
      </c>
      <c r="V12" s="45"/>
    </row>
    <row r="13" spans="1:23" x14ac:dyDescent="0.2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9.24</v>
      </c>
      <c r="E13" s="9">
        <f t="shared" si="0"/>
        <v>18.48</v>
      </c>
      <c r="F13" s="41"/>
      <c r="G13" s="46"/>
      <c r="I13" s="1" t="s">
        <v>23</v>
      </c>
      <c r="J13" s="1">
        <v>10</v>
      </c>
      <c r="K13" s="1">
        <v>0.24399999999999999</v>
      </c>
      <c r="L13" s="1">
        <f t="shared" si="1"/>
        <v>6.1</v>
      </c>
      <c r="M13" s="9">
        <f t="shared" si="2"/>
        <v>61</v>
      </c>
      <c r="N13" s="40"/>
      <c r="O13" s="46"/>
    </row>
    <row r="14" spans="1:23" x14ac:dyDescent="0.2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15.75</v>
      </c>
      <c r="E14" s="9">
        <f t="shared" si="0"/>
        <v>31.5</v>
      </c>
      <c r="F14" s="39">
        <f>D10+D11+D12+D14+D15</f>
        <v>59.155000000000001</v>
      </c>
      <c r="G14" s="46">
        <v>3</v>
      </c>
      <c r="I14" s="1" t="s">
        <v>25</v>
      </c>
      <c r="J14" s="1">
        <v>7</v>
      </c>
      <c r="K14" s="1">
        <v>0.24399999999999999</v>
      </c>
      <c r="L14" s="1">
        <f t="shared" si="1"/>
        <v>5.734</v>
      </c>
      <c r="M14" s="9">
        <f t="shared" si="2"/>
        <v>40.137999999999998</v>
      </c>
      <c r="N14" s="40"/>
      <c r="O14" s="46"/>
    </row>
    <row r="15" spans="1:23" x14ac:dyDescent="0.2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16.125</v>
      </c>
      <c r="E15" s="9">
        <f t="shared" si="0"/>
        <v>48.375</v>
      </c>
      <c r="F15" s="41"/>
      <c r="G15" s="46"/>
      <c r="I15" s="1" t="s">
        <v>27</v>
      </c>
      <c r="J15" s="1">
        <v>10</v>
      </c>
      <c r="K15" s="1">
        <v>0.24399999999999999</v>
      </c>
      <c r="L15" s="1">
        <f t="shared" si="1"/>
        <v>6.1</v>
      </c>
      <c r="M15" s="9">
        <f t="shared" si="2"/>
        <v>61</v>
      </c>
      <c r="N15" s="40"/>
      <c r="O15" s="46"/>
    </row>
    <row r="16" spans="1:23" x14ac:dyDescent="0.25">
      <c r="D16" s="6" t="s">
        <v>37</v>
      </c>
      <c r="E16" s="10">
        <f>SUM(E10:E13)</f>
        <v>55</v>
      </c>
      <c r="F16" s="11">
        <f>E16/G10</f>
        <v>36.666666666666664</v>
      </c>
      <c r="I16" s="3" t="s">
        <v>28</v>
      </c>
      <c r="J16" s="1">
        <v>2</v>
      </c>
      <c r="K16" s="1">
        <v>0.24399999999999999</v>
      </c>
      <c r="L16" s="1">
        <f t="shared" si="1"/>
        <v>5.1239999999999997</v>
      </c>
      <c r="M16" s="9">
        <f t="shared" si="2"/>
        <v>10.247999999999999</v>
      </c>
      <c r="N16" s="41"/>
      <c r="O16" s="46"/>
    </row>
    <row r="17" spans="1:15" x14ac:dyDescent="0.25">
      <c r="D17" s="6" t="s">
        <v>38</v>
      </c>
      <c r="E17" s="10">
        <f>SUM(E10:E15)</f>
        <v>134.875</v>
      </c>
      <c r="F17" s="11">
        <f>E17/G14</f>
        <v>44.958333333333336</v>
      </c>
      <c r="I17" s="7"/>
      <c r="J17" s="5"/>
      <c r="K17" s="5"/>
      <c r="L17" s="8" t="s">
        <v>39</v>
      </c>
      <c r="M17" s="10">
        <f>SUM(M10:M16)</f>
        <v>208.90600000000001</v>
      </c>
      <c r="N17" s="10">
        <f>M17/O10</f>
        <v>52.226500000000001</v>
      </c>
      <c r="O17" s="5"/>
    </row>
    <row r="18" spans="1:15" x14ac:dyDescent="0.2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25">
      <c r="E19" s="6"/>
      <c r="F19" s="6"/>
    </row>
    <row r="20" spans="1:15" x14ac:dyDescent="0.25">
      <c r="A20" s="36" t="s">
        <v>29</v>
      </c>
      <c r="B20" s="37"/>
      <c r="C20" s="37"/>
      <c r="D20" s="37"/>
      <c r="E20" s="38"/>
      <c r="I20" s="36" t="s">
        <v>30</v>
      </c>
      <c r="J20" s="37"/>
      <c r="K20" s="37"/>
      <c r="L20" s="37"/>
      <c r="M20" s="37"/>
      <c r="N20" s="38"/>
      <c r="O20" s="5"/>
    </row>
    <row r="21" spans="1:15" x14ac:dyDescent="0.2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2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10.25</v>
      </c>
      <c r="E22" s="1">
        <f>D22*B22</f>
        <v>10.25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43">
        <f>L22+L23+L24</f>
        <v>0.84000000000000008</v>
      </c>
      <c r="O22" s="5"/>
    </row>
    <row r="23" spans="1:15" x14ac:dyDescent="0.2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9.4600000000000009</v>
      </c>
      <c r="E23" s="1">
        <f>D23*B23</f>
        <v>28.380000000000003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44"/>
      <c r="O23" s="5"/>
    </row>
    <row r="24" spans="1:15" x14ac:dyDescent="0.2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12.6</v>
      </c>
      <c r="E24" s="1">
        <f>D24*B24</f>
        <v>25.2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45"/>
      <c r="O24" s="5"/>
    </row>
    <row r="25" spans="1:15" x14ac:dyDescent="0.2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9.24</v>
      </c>
      <c r="E25" s="1">
        <f>D25*B25</f>
        <v>18.48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43">
        <f>L22+L23+L25+L26</f>
        <v>1.2400000000000002</v>
      </c>
      <c r="O25" s="5"/>
    </row>
    <row r="26" spans="1:15" x14ac:dyDescent="0.2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45"/>
      <c r="O26" s="5"/>
    </row>
    <row r="28" spans="1:15" x14ac:dyDescent="0.25">
      <c r="A28" s="5" t="s">
        <v>45</v>
      </c>
    </row>
    <row r="29" spans="1:15" x14ac:dyDescent="0.25">
      <c r="A29">
        <v>0.25</v>
      </c>
    </row>
    <row r="30" spans="1:15" x14ac:dyDescent="0.25">
      <c r="A30" s="47" t="s">
        <v>43</v>
      </c>
      <c r="B30" s="37"/>
      <c r="C30" s="37"/>
      <c r="D30" s="37"/>
      <c r="E30" s="37"/>
      <c r="F30" s="38"/>
      <c r="G30" s="4"/>
      <c r="I30" s="47" t="s">
        <v>44</v>
      </c>
      <c r="J30" s="37"/>
      <c r="K30" s="37"/>
      <c r="L30" s="37"/>
      <c r="M30" s="37"/>
      <c r="N30" s="38"/>
      <c r="O30" s="1"/>
    </row>
    <row r="31" spans="1:15" x14ac:dyDescent="0.2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2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14.145</v>
      </c>
      <c r="E32" s="9">
        <f t="shared" ref="E32:E37" si="4">D32*B32</f>
        <v>14.145</v>
      </c>
      <c r="F32" s="39">
        <f>D32+D33+D34+D35</f>
        <v>57.269999999999996</v>
      </c>
      <c r="G32" s="46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14.145</v>
      </c>
      <c r="M32" s="9">
        <f t="shared" ref="M32:M38" si="6">L32*J32</f>
        <v>14.145</v>
      </c>
      <c r="N32" s="39">
        <f>L32+L33+L34+L35+L36+L37+L38</f>
        <v>89.46299999999998</v>
      </c>
      <c r="O32" s="46">
        <v>4</v>
      </c>
    </row>
    <row r="33" spans="1:15" x14ac:dyDescent="0.2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14.145</v>
      </c>
      <c r="E33" s="9">
        <f t="shared" si="4"/>
        <v>14.145</v>
      </c>
      <c r="F33" s="40"/>
      <c r="G33" s="46"/>
      <c r="I33" s="1" t="s">
        <v>19</v>
      </c>
      <c r="J33" s="1">
        <v>1</v>
      </c>
      <c r="K33" s="1">
        <v>0.69</v>
      </c>
      <c r="L33" s="1">
        <f t="shared" si="5"/>
        <v>14.145</v>
      </c>
      <c r="M33" s="9">
        <f t="shared" si="6"/>
        <v>14.145</v>
      </c>
      <c r="N33" s="40"/>
      <c r="O33" s="46"/>
    </row>
    <row r="34" spans="1:15" x14ac:dyDescent="0.2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14.489999999999998</v>
      </c>
      <c r="E34" s="9">
        <f t="shared" si="4"/>
        <v>28.979999999999997</v>
      </c>
      <c r="F34" s="40"/>
      <c r="G34" s="46"/>
      <c r="I34" s="1" t="s">
        <v>20</v>
      </c>
      <c r="J34" s="1">
        <v>2</v>
      </c>
      <c r="K34" s="1">
        <v>0.69</v>
      </c>
      <c r="L34" s="1">
        <f t="shared" si="5"/>
        <v>14.489999999999998</v>
      </c>
      <c r="M34" s="9">
        <f t="shared" si="6"/>
        <v>28.979999999999997</v>
      </c>
      <c r="N34" s="40"/>
      <c r="O34" s="46"/>
    </row>
    <row r="35" spans="1:15" x14ac:dyDescent="0.2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14.489999999999998</v>
      </c>
      <c r="E35" s="9">
        <f t="shared" si="4"/>
        <v>28.979999999999997</v>
      </c>
      <c r="F35" s="41"/>
      <c r="G35" s="46"/>
      <c r="I35" s="1" t="s">
        <v>23</v>
      </c>
      <c r="J35" s="1">
        <v>10</v>
      </c>
      <c r="K35" s="1">
        <v>0.49399999999999999</v>
      </c>
      <c r="L35" s="1">
        <f t="shared" si="5"/>
        <v>12.349999999999998</v>
      </c>
      <c r="M35" s="9">
        <f t="shared" si="6"/>
        <v>123.49999999999997</v>
      </c>
      <c r="N35" s="40"/>
      <c r="O35" s="46"/>
    </row>
    <row r="36" spans="1:15" x14ac:dyDescent="0.2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21</v>
      </c>
      <c r="E36" s="9">
        <f t="shared" si="4"/>
        <v>42</v>
      </c>
      <c r="F36" s="39">
        <f>D32+D33+D34+D36+D37</f>
        <v>85.28</v>
      </c>
      <c r="G36" s="46">
        <v>3</v>
      </c>
      <c r="I36" s="1" t="s">
        <v>25</v>
      </c>
      <c r="J36" s="1">
        <v>7</v>
      </c>
      <c r="K36" s="1">
        <v>0.49399999999999999</v>
      </c>
      <c r="L36" s="1">
        <f t="shared" si="5"/>
        <v>11.608999999999998</v>
      </c>
      <c r="M36" s="9">
        <f t="shared" si="6"/>
        <v>81.262999999999991</v>
      </c>
      <c r="N36" s="40"/>
      <c r="O36" s="46"/>
    </row>
    <row r="37" spans="1:15" x14ac:dyDescent="0.2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21.5</v>
      </c>
      <c r="E37" s="9">
        <f t="shared" si="4"/>
        <v>64.5</v>
      </c>
      <c r="F37" s="41"/>
      <c r="G37" s="46"/>
      <c r="I37" s="1" t="s">
        <v>27</v>
      </c>
      <c r="J37" s="1">
        <v>10</v>
      </c>
      <c r="K37" s="1">
        <v>0.49399999999999999</v>
      </c>
      <c r="L37" s="1">
        <f t="shared" si="5"/>
        <v>12.349999999999998</v>
      </c>
      <c r="M37" s="9">
        <f t="shared" si="6"/>
        <v>123.49999999999997</v>
      </c>
      <c r="N37" s="40"/>
      <c r="O37" s="46"/>
    </row>
    <row r="38" spans="1:15" x14ac:dyDescent="0.25">
      <c r="D38" s="6" t="s">
        <v>37</v>
      </c>
      <c r="E38" s="10">
        <f>SUM(E32:E35)</f>
        <v>86.25</v>
      </c>
      <c r="F38" s="11">
        <f>E38/G32</f>
        <v>57.5</v>
      </c>
      <c r="I38" s="3" t="s">
        <v>28</v>
      </c>
      <c r="J38" s="1">
        <v>2</v>
      </c>
      <c r="K38" s="1">
        <v>0.49399999999999999</v>
      </c>
      <c r="L38" s="1">
        <f t="shared" si="5"/>
        <v>10.373999999999999</v>
      </c>
      <c r="M38" s="9">
        <f t="shared" si="6"/>
        <v>20.747999999999998</v>
      </c>
      <c r="N38" s="41"/>
      <c r="O38" s="46"/>
    </row>
    <row r="39" spans="1:15" x14ac:dyDescent="0.25">
      <c r="D39" s="6" t="s">
        <v>38</v>
      </c>
      <c r="E39" s="10">
        <f>SUM(E32:E37)</f>
        <v>192.75</v>
      </c>
      <c r="F39" s="11">
        <f>E39/G36</f>
        <v>64.25</v>
      </c>
      <c r="I39" s="7"/>
      <c r="J39" s="5"/>
      <c r="K39" s="5"/>
      <c r="L39" s="8" t="s">
        <v>39</v>
      </c>
      <c r="M39" s="10">
        <f>SUM(M32:M38)</f>
        <v>406.28099999999989</v>
      </c>
      <c r="N39" s="10">
        <f>M39/O32</f>
        <v>101.57024999999997</v>
      </c>
      <c r="O39" s="5"/>
    </row>
    <row r="40" spans="1:15" x14ac:dyDescent="0.2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25">
      <c r="A43" s="36" t="s">
        <v>29</v>
      </c>
      <c r="B43" s="37"/>
      <c r="C43" s="37"/>
      <c r="D43" s="37"/>
      <c r="E43" s="38"/>
      <c r="I43" s="36" t="s">
        <v>30</v>
      </c>
      <c r="J43" s="37"/>
      <c r="K43" s="37"/>
      <c r="L43" s="37"/>
      <c r="M43" s="37"/>
      <c r="N43" s="38"/>
    </row>
    <row r="44" spans="1:15" x14ac:dyDescent="0.2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2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15.375</v>
      </c>
      <c r="E45" s="1">
        <f>D45*B45</f>
        <v>15.375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43">
        <f>L45+L46+L47</f>
        <v>0.84000000000000008</v>
      </c>
    </row>
    <row r="46" spans="1:15" x14ac:dyDescent="0.2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14.834999999999999</v>
      </c>
      <c r="E46" s="1">
        <f>D46*B46</f>
        <v>44.504999999999995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44"/>
    </row>
    <row r="47" spans="1:15" x14ac:dyDescent="0.2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17.850000000000001</v>
      </c>
      <c r="E47" s="1">
        <f>D47*B47</f>
        <v>35.700000000000003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45"/>
    </row>
    <row r="48" spans="1:15" x14ac:dyDescent="0.2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14.489999999999998</v>
      </c>
      <c r="E48" s="1">
        <f>D48*B48</f>
        <v>28.979999999999997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43">
        <f>L45+L46+L48+L49</f>
        <v>1.2400000000000002</v>
      </c>
    </row>
    <row r="49" spans="9:14" x14ac:dyDescent="0.2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45"/>
    </row>
  </sheetData>
  <mergeCells count="28">
    <mergeCell ref="A43:E43"/>
    <mergeCell ref="I43:N43"/>
    <mergeCell ref="N45:N47"/>
    <mergeCell ref="N48:N49"/>
    <mergeCell ref="O32:O38"/>
    <mergeCell ref="F36:F37"/>
    <mergeCell ref="G36:G37"/>
    <mergeCell ref="A30:F30"/>
    <mergeCell ref="I30:N30"/>
    <mergeCell ref="F32:F35"/>
    <mergeCell ref="G32:G35"/>
    <mergeCell ref="N32:N38"/>
    <mergeCell ref="N22:N24"/>
    <mergeCell ref="N25:N26"/>
    <mergeCell ref="V10:V12"/>
    <mergeCell ref="G10:G13"/>
    <mergeCell ref="G14:G15"/>
    <mergeCell ref="O10:O16"/>
    <mergeCell ref="N10:N16"/>
    <mergeCell ref="A20:E20"/>
    <mergeCell ref="I20:N20"/>
    <mergeCell ref="F10:F13"/>
    <mergeCell ref="F14:F15"/>
    <mergeCell ref="A1:E1"/>
    <mergeCell ref="G1:W1"/>
    <mergeCell ref="A8:F8"/>
    <mergeCell ref="I8:N8"/>
    <mergeCell ref="Q8:V8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 x14ac:dyDescent="0.25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Z21"/>
  <sheetViews>
    <sheetView tabSelected="1"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E8" sqref="E8"/>
    </sheetView>
  </sheetViews>
  <sheetFormatPr defaultColWidth="15.6328125" defaultRowHeight="24" customHeight="1" x14ac:dyDescent="0.25"/>
  <cols>
    <col min="1" max="16384" width="15.6328125" style="8"/>
  </cols>
  <sheetData>
    <row r="1" spans="2:52" ht="24" customHeight="1" x14ac:dyDescent="0.2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2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25">
      <c r="C3" s="21"/>
      <c r="D3" s="50" t="s">
        <v>46</v>
      </c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21"/>
      <c r="R3" s="21"/>
      <c r="S3" s="21"/>
      <c r="T3" s="21"/>
      <c r="V3" s="50" t="s">
        <v>52</v>
      </c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21"/>
    </row>
    <row r="4" spans="2:52" ht="24" customHeight="1" x14ac:dyDescent="0.2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51" t="s">
        <v>57</v>
      </c>
      <c r="W4" s="51"/>
      <c r="X4" s="51"/>
      <c r="Y4" s="51"/>
      <c r="Z4" s="51"/>
      <c r="AA4" s="51"/>
      <c r="AB4" s="21"/>
      <c r="AC4" s="21"/>
      <c r="AD4" s="51" t="s">
        <v>59</v>
      </c>
      <c r="AE4" s="51"/>
      <c r="AF4" s="51"/>
      <c r="AG4" s="51"/>
      <c r="AH4" s="21"/>
      <c r="AI4" s="21"/>
      <c r="AJ4" s="21"/>
      <c r="AK4" s="21"/>
      <c r="AL4" s="51" t="s">
        <v>60</v>
      </c>
      <c r="AM4" s="51"/>
      <c r="AN4" s="51"/>
      <c r="AO4" s="51"/>
      <c r="AP4" s="51"/>
      <c r="AQ4" s="51"/>
      <c r="AR4" s="21"/>
      <c r="AS4" s="21"/>
      <c r="AT4" s="51" t="s">
        <v>61</v>
      </c>
      <c r="AU4" s="51"/>
      <c r="AV4" s="51"/>
      <c r="AW4" s="51"/>
      <c r="AX4" s="51"/>
      <c r="AY4" s="51"/>
      <c r="AZ4" s="21"/>
    </row>
    <row r="5" spans="2:52" ht="24" customHeight="1" x14ac:dyDescent="0.2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25">
      <c r="B6" s="48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2</v>
      </c>
      <c r="R6" s="22">
        <f>K6/Q6</f>
        <v>11</v>
      </c>
      <c r="S6" s="22">
        <f>(AD6-MAX($D$2,P6))*N6</f>
        <v>4</v>
      </c>
      <c r="T6" s="22">
        <f>K6/S6</f>
        <v>5.5</v>
      </c>
      <c r="V6" s="12">
        <v>6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8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25">
      <c r="B7" s="48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3.6799999999999997</v>
      </c>
      <c r="R7" s="22">
        <f>K7/Q7</f>
        <v>10.869565217391305</v>
      </c>
      <c r="S7" s="22">
        <f>(AD7-MAX($D$2,P7))*N7</f>
        <v>7.68</v>
      </c>
      <c r="T7" s="22">
        <f>K7/S7</f>
        <v>5.2083333333333339</v>
      </c>
      <c r="V7" s="12">
        <v>12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16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25">
      <c r="B8" s="48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9.5379999999999985</v>
      </c>
      <c r="R8" s="22">
        <f>K8/Q8</f>
        <v>10.484378276368213</v>
      </c>
      <c r="S8" s="22">
        <f>(AD8-MAX($D$2,P8))*N8</f>
        <v>18.087999999999997</v>
      </c>
      <c r="T8" s="22">
        <f>K8/S8</f>
        <v>5.5285272003538264</v>
      </c>
      <c r="V8" s="12">
        <v>23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32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25">
      <c r="B9" s="48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38.075999999999993</v>
      </c>
      <c r="T9" s="22">
        <f>K9/S9</f>
        <v>5.2526525895577274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58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25">
      <c r="B10" s="49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64.62</v>
      </c>
      <c r="T10" s="22">
        <f>K10/S10</f>
        <v>5.2615289384091612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95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25">
      <c r="B11" s="49"/>
    </row>
    <row r="12" spans="2:52" ht="24" customHeight="1" x14ac:dyDescent="0.25">
      <c r="B12" s="49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100.8</v>
      </c>
      <c r="T12" s="22">
        <f>K12/S12</f>
        <v>5.3571428571428577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160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25">
      <c r="B13" s="48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138.72</v>
      </c>
      <c r="T13" s="22">
        <f>K13/S13</f>
        <v>5.3344867358708186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240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25">
      <c r="B14" s="48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188.02</v>
      </c>
      <c r="T14" s="22">
        <f>K14/S14</f>
        <v>5.3185831294543133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330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25">
      <c r="B16" s="48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266.24</v>
      </c>
      <c r="T16" s="22">
        <f>K16/S16</f>
        <v>4.8828125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500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25">
      <c r="B17" s="48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331.84</v>
      </c>
      <c r="T17" s="22">
        <f>K17/S17</f>
        <v>4.821600771456124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650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25">
      <c r="B18" s="48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411.04</v>
      </c>
      <c r="T18" s="22">
        <f>K18/S18</f>
        <v>4.62242117555469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900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25">
      <c r="B20" s="48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501.53999999999996</v>
      </c>
      <c r="T20" s="22">
        <f>K20/S20</f>
        <v>4.0275950073772782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1200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25">
      <c r="B21" s="48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738</v>
      </c>
      <c r="T21" s="22">
        <f>K21/S21</f>
        <v>3.9295392953929538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1800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D3:P3"/>
    <mergeCell ref="V3:AY3"/>
    <mergeCell ref="AT4:AY4"/>
    <mergeCell ref="AL4:AQ4"/>
    <mergeCell ref="AD4:AG4"/>
    <mergeCell ref="V4:AA4"/>
    <mergeCell ref="B20:B21"/>
    <mergeCell ref="B6:B7"/>
    <mergeCell ref="B8:B9"/>
    <mergeCell ref="B10:B12"/>
    <mergeCell ref="B13:B14"/>
    <mergeCell ref="B16:B18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普通攻击</vt:lpstr>
      <vt:lpstr>技能</vt:lpstr>
      <vt:lpstr>数值分配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2025-10-29T12:46:02Z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